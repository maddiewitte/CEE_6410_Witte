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lecture stuff/"/>
    </mc:Choice>
  </mc:AlternateContent>
  <xr:revisionPtr revIDLastSave="0" documentId="13_ncr:1_{2AFB528B-4B0F-4FED-A77F-66140E241D3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radient-6" sheetId="4" r:id="rId1"/>
    <sheet name="NonlinearSolver" sheetId="2" r:id="rId2"/>
    <sheet name="Gradient-42" sheetId="5" r:id="rId3"/>
    <sheet name="Linearized" sheetId="1" r:id="rId4"/>
  </sheets>
  <definedNames>
    <definedName name="solver_adj" localSheetId="2" hidden="1">'Gradient-42'!$I$24</definedName>
    <definedName name="solver_adj" localSheetId="0" hidden="1">'Gradient-6'!$I$21</definedName>
    <definedName name="solver_adj" localSheetId="3" hidden="1">Linearized!$B$36:$K$36</definedName>
    <definedName name="solver_adj" localSheetId="1" hidden="1">NonlinearSolver!$B$20:$C$20</definedName>
    <definedName name="solver_cvg" localSheetId="2" hidden="1">0.0001</definedName>
    <definedName name="solver_cvg" localSheetId="0" hidden="1">0.0001</definedName>
    <definedName name="solver_cvg" localSheetId="3" hidden="1">0.0001</definedName>
    <definedName name="solver_cvg" localSheetId="1" hidden="1">0.0001</definedName>
    <definedName name="solver_drv" localSheetId="2" hidden="1">2</definedName>
    <definedName name="solver_drv" localSheetId="0" hidden="1">2</definedName>
    <definedName name="solver_drv" localSheetId="3" hidden="1">2</definedName>
    <definedName name="solver_drv" localSheetId="1" hidden="1">2</definedName>
    <definedName name="solver_eng" localSheetId="2" hidden="1">1</definedName>
    <definedName name="solver_eng" localSheetId="0" hidden="1">1</definedName>
    <definedName name="solver_eng" localSheetId="3" hidden="1">2</definedName>
    <definedName name="solver_eng" localSheetId="1" hidden="1">3</definedName>
    <definedName name="solver_est" localSheetId="2" hidden="1">1</definedName>
    <definedName name="solver_est" localSheetId="0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0" hidden="1">2147483647</definedName>
    <definedName name="solver_itr" localSheetId="3" hidden="1">2147483647</definedName>
    <definedName name="solver_itr" localSheetId="1" hidden="1">2147483647</definedName>
    <definedName name="solver_lhs1" localSheetId="2" hidden="1">'Gradient-42'!#REF!</definedName>
    <definedName name="solver_lhs1" localSheetId="0" hidden="1">'Gradient-6'!#REF!</definedName>
    <definedName name="solver_lhs1" localSheetId="3" hidden="1">Linearized!$L$27:$L$29</definedName>
    <definedName name="solver_lhs1" localSheetId="1" hidden="1">NonlinearSolver!$B$20</definedName>
    <definedName name="solver_lhs2" localSheetId="2" hidden="1">'Gradient-42'!#REF!</definedName>
    <definedName name="solver_lhs2" localSheetId="0" hidden="1">'Gradient-6'!#REF!</definedName>
    <definedName name="solver_lhs2" localSheetId="3" hidden="1">Linearized!$L$30:$L$33</definedName>
    <definedName name="solver_lhs2" localSheetId="1" hidden="1">NonlinearSolver!$B$20</definedName>
    <definedName name="solver_lhs3" localSheetId="1" hidden="1">NonlinearSolver!$C$20</definedName>
    <definedName name="solver_lhs4" localSheetId="1" hidden="1">NonlinearSolver!$C$20</definedName>
    <definedName name="solver_lhs5" localSheetId="1" hidden="1">NonlinearSolver!$D$16:$D$18</definedName>
    <definedName name="solver_mip" localSheetId="2" hidden="1">2147483647</definedName>
    <definedName name="solver_mip" localSheetId="0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0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0" hidden="1">0.075</definedName>
    <definedName name="solver_mrt" localSheetId="3" hidden="1">0.075</definedName>
    <definedName name="solver_mrt" localSheetId="1" hidden="1">0.05</definedName>
    <definedName name="solver_msl" localSheetId="2" hidden="1">2</definedName>
    <definedName name="solver_msl" localSheetId="0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0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0" hidden="1">2147483647</definedName>
    <definedName name="solver_nod" localSheetId="3" hidden="1">2147483647</definedName>
    <definedName name="solver_nod" localSheetId="1" hidden="1">2147483647</definedName>
    <definedName name="solver_num" localSheetId="2" hidden="1">0</definedName>
    <definedName name="solver_num" localSheetId="0" hidden="1">0</definedName>
    <definedName name="solver_num" localSheetId="3" hidden="1">2</definedName>
    <definedName name="solver_num" localSheetId="1" hidden="1">5</definedName>
    <definedName name="solver_nwt" localSheetId="2" hidden="1">1</definedName>
    <definedName name="solver_nwt" localSheetId="0" hidden="1">1</definedName>
    <definedName name="solver_nwt" localSheetId="3" hidden="1">1</definedName>
    <definedName name="solver_nwt" localSheetId="1" hidden="1">1</definedName>
    <definedName name="solver_opt" localSheetId="2" hidden="1">'Gradient-42'!$J$24</definedName>
    <definedName name="solver_opt" localSheetId="0" hidden="1">'Gradient-6'!$J$21</definedName>
    <definedName name="solver_opt" localSheetId="3" hidden="1">Linearized!$B$37</definedName>
    <definedName name="solver_opt" localSheetId="1" hidden="1">NonlinearSolver!$B$21</definedName>
    <definedName name="solver_pre" localSheetId="2" hidden="1">0.000001</definedName>
    <definedName name="solver_pre" localSheetId="0" hidden="1">0.000001</definedName>
    <definedName name="solver_pre" localSheetId="3" hidden="1">0.000001</definedName>
    <definedName name="solver_pre" localSheetId="1" hidden="1">0.000001</definedName>
    <definedName name="solver_rbv" localSheetId="2" hidden="1">2</definedName>
    <definedName name="solver_rbv" localSheetId="0" hidden="1">2</definedName>
    <definedName name="solver_rbv" localSheetId="3" hidden="1">2</definedName>
    <definedName name="solver_rbv" localSheetId="1" hidden="1">1</definedName>
    <definedName name="solver_rel1" localSheetId="2" hidden="1">1</definedName>
    <definedName name="solver_rel1" localSheetId="0" hidden="1">1</definedName>
    <definedName name="solver_rel1" localSheetId="3" hidden="1">1</definedName>
    <definedName name="solver_rel1" localSheetId="1" hidden="1">1</definedName>
    <definedName name="solver_rel2" localSheetId="2" hidden="1">2</definedName>
    <definedName name="solver_rel2" localSheetId="0" hidden="1">2</definedName>
    <definedName name="solver_rel2" localSheetId="3" hidden="1">2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hs1" localSheetId="2" hidden="1">'Gradient-42'!#REF!</definedName>
    <definedName name="solver_rhs1" localSheetId="0" hidden="1">'Gradient-6'!#REF!</definedName>
    <definedName name="solver_rhs1" localSheetId="3" hidden="1">Linearized!$N$27:$N$29</definedName>
    <definedName name="solver_rhs1" localSheetId="1" hidden="1">5</definedName>
    <definedName name="solver_rhs2" localSheetId="2" hidden="1">'Gradient-42'!#REF!</definedName>
    <definedName name="solver_rhs2" localSheetId="0" hidden="1">'Gradient-6'!#REF!</definedName>
    <definedName name="solver_rhs2" localSheetId="3" hidden="1">Linearized!$N$30:$N$33</definedName>
    <definedName name="solver_rhs2" localSheetId="1" hidden="1">0</definedName>
    <definedName name="solver_rhs3" localSheetId="1" hidden="1">5</definedName>
    <definedName name="solver_rhs4" localSheetId="1" hidden="1">0</definedName>
    <definedName name="solver_rhs5" localSheetId="1" hidden="1">NonlinearSolver!$F$16:$F$18</definedName>
    <definedName name="solver_rlx" localSheetId="2" hidden="1">2</definedName>
    <definedName name="solver_rlx" localSheetId="0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0" hidden="1">0</definedName>
    <definedName name="solver_rsd" localSheetId="3" hidden="1">0</definedName>
    <definedName name="solver_rsd" localSheetId="1" hidden="1">0</definedName>
    <definedName name="solver_scl" localSheetId="2" hidden="1">2</definedName>
    <definedName name="solver_scl" localSheetId="0" hidden="1">2</definedName>
    <definedName name="solver_scl" localSheetId="3" hidden="1">2</definedName>
    <definedName name="solver_scl" localSheetId="1" hidden="1">2</definedName>
    <definedName name="solver_sho" localSheetId="2" hidden="1">2</definedName>
    <definedName name="solver_sho" localSheetId="0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0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0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0" hidden="1">0.01</definedName>
    <definedName name="solver_tol" localSheetId="3" hidden="1">0.01</definedName>
    <definedName name="solver_tol" localSheetId="1" hidden="1">0.01</definedName>
    <definedName name="solver_typ" localSheetId="2" hidden="1">3</definedName>
    <definedName name="solver_typ" localSheetId="0" hidden="1">3</definedName>
    <definedName name="solver_typ" localSheetId="3" hidden="1">1</definedName>
    <definedName name="solver_typ" localSheetId="1" hidden="1">1</definedName>
    <definedName name="solver_val" localSheetId="2" hidden="1">0</definedName>
    <definedName name="solver_val" localSheetId="0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0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B26" i="1"/>
  <c r="L27" i="1" l="1"/>
  <c r="L32" i="1" l="1"/>
  <c r="D17" i="2"/>
  <c r="E16" i="4"/>
  <c r="B21" i="2" l="1"/>
  <c r="E16" i="5"/>
  <c r="G16" i="5" s="1"/>
  <c r="F16" i="5"/>
  <c r="D16" i="5"/>
  <c r="G9" i="5"/>
  <c r="C60" i="5" s="1"/>
  <c r="C58" i="5"/>
  <c r="B57" i="5"/>
  <c r="B56" i="5"/>
  <c r="C55" i="5"/>
  <c r="L6" i="5"/>
  <c r="L6" i="4"/>
  <c r="F16" i="4"/>
  <c r="H16" i="4" s="1"/>
  <c r="L16" i="4" s="1"/>
  <c r="O16" i="4" s="1"/>
  <c r="T16" i="4" s="1"/>
  <c r="G9" i="4"/>
  <c r="C57" i="4"/>
  <c r="C56" i="4"/>
  <c r="C55" i="4"/>
  <c r="B54" i="4"/>
  <c r="B53" i="4"/>
  <c r="C52" i="4"/>
  <c r="D16" i="4"/>
  <c r="D18" i="2"/>
  <c r="D16" i="2"/>
  <c r="G29" i="1"/>
  <c r="H29" i="1"/>
  <c r="I29" i="1"/>
  <c r="G26" i="1"/>
  <c r="H26" i="1"/>
  <c r="I26" i="1"/>
  <c r="F26" i="1"/>
  <c r="C26" i="1"/>
  <c r="D26" i="1"/>
  <c r="E26" i="1"/>
  <c r="L28" i="1"/>
  <c r="L30" i="1"/>
  <c r="L31" i="1"/>
  <c r="L33" i="1"/>
  <c r="L29" i="1" l="1"/>
  <c r="G16" i="4"/>
  <c r="B37" i="1"/>
  <c r="H16" i="5"/>
  <c r="L16" i="5" s="1"/>
  <c r="O16" i="5" s="1"/>
  <c r="T16" i="5" s="1"/>
  <c r="J16" i="4"/>
  <c r="Z16" i="4"/>
  <c r="K16" i="4"/>
  <c r="Z16" i="5"/>
  <c r="K16" i="5"/>
  <c r="J16" i="5"/>
  <c r="C59" i="5"/>
  <c r="M16" i="5" l="1"/>
  <c r="N16" i="5"/>
  <c r="S16" i="5" s="1"/>
  <c r="P16" i="5"/>
  <c r="U16" i="5" s="1"/>
  <c r="Q16" i="5"/>
  <c r="V16" i="5" s="1"/>
  <c r="M16" i="4"/>
  <c r="N16" i="4"/>
  <c r="S16" i="4" s="1"/>
  <c r="P16" i="4"/>
  <c r="U16" i="4" s="1"/>
  <c r="Q16" i="4"/>
  <c r="V16" i="4" s="1"/>
  <c r="W16" i="4" l="1"/>
  <c r="R16" i="4"/>
  <c r="W16" i="5"/>
  <c r="R16" i="5"/>
  <c r="X16" i="5" l="1"/>
  <c r="B17" i="5" s="1"/>
  <c r="Y16" i="5"/>
  <c r="C17" i="5" s="1"/>
  <c r="Y16" i="4"/>
  <c r="C17" i="4" s="1"/>
  <c r="X16" i="4"/>
  <c r="B17" i="4" s="1"/>
  <c r="D17" i="4" l="1"/>
  <c r="E17" i="4"/>
  <c r="E17" i="5"/>
  <c r="D17" i="5"/>
  <c r="F17" i="4"/>
  <c r="H17" i="4" s="1"/>
  <c r="L17" i="4" s="1"/>
  <c r="O17" i="4" s="1"/>
  <c r="T17" i="4" s="1"/>
  <c r="F17" i="5"/>
  <c r="G17" i="5" l="1"/>
  <c r="K17" i="5" s="1"/>
  <c r="G17" i="4"/>
  <c r="H17" i="5"/>
  <c r="L17" i="5" l="1"/>
  <c r="Z17" i="5"/>
  <c r="J17" i="5"/>
  <c r="J17" i="4"/>
  <c r="Z17" i="4"/>
  <c r="K17" i="4"/>
  <c r="N17" i="4" l="1"/>
  <c r="S17" i="4" s="1"/>
  <c r="P17" i="4"/>
  <c r="U17" i="4" s="1"/>
  <c r="Q17" i="4"/>
  <c r="V17" i="4" s="1"/>
  <c r="M17" i="4"/>
  <c r="O17" i="5"/>
  <c r="T17" i="5" s="1"/>
  <c r="M17" i="5"/>
  <c r="N17" i="5"/>
  <c r="S17" i="5" s="1"/>
  <c r="P17" i="5"/>
  <c r="U17" i="5" s="1"/>
  <c r="Q17" i="5"/>
  <c r="V17" i="5" s="1"/>
  <c r="W17" i="5" l="1"/>
  <c r="R17" i="5"/>
  <c r="R17" i="4"/>
  <c r="W17" i="4"/>
  <c r="Y17" i="4" l="1"/>
  <c r="C18" i="4" s="1"/>
  <c r="X17" i="4"/>
  <c r="B18" i="4" s="1"/>
  <c r="Y17" i="5"/>
  <c r="C18" i="5" s="1"/>
  <c r="X17" i="5"/>
  <c r="B18" i="5" s="1"/>
  <c r="E18" i="5" l="1"/>
  <c r="D18" i="5"/>
  <c r="F18" i="5"/>
  <c r="D18" i="4"/>
  <c r="E18" i="4"/>
  <c r="F18" i="4"/>
  <c r="H18" i="4" l="1"/>
  <c r="L18" i="4" s="1"/>
  <c r="O18" i="4" s="1"/>
  <c r="T18" i="4" s="1"/>
  <c r="G18" i="4"/>
  <c r="K18" i="4" s="1"/>
  <c r="H18" i="5"/>
  <c r="L18" i="5" s="1"/>
  <c r="O18" i="5" s="1"/>
  <c r="T18" i="5" s="1"/>
  <c r="G18" i="5"/>
  <c r="Z18" i="4" l="1"/>
  <c r="N18" i="4"/>
  <c r="S18" i="4" s="1"/>
  <c r="J18" i="4"/>
  <c r="M18" i="4"/>
  <c r="R18" i="4" s="1"/>
  <c r="Q18" i="4"/>
  <c r="V18" i="4" s="1"/>
  <c r="P18" i="4"/>
  <c r="U18" i="4" s="1"/>
  <c r="J18" i="5"/>
  <c r="Z18" i="5"/>
  <c r="K18" i="5"/>
  <c r="W18" i="4" l="1"/>
  <c r="Y18" i="4" s="1"/>
  <c r="C19" i="4" s="1"/>
  <c r="M18" i="5"/>
  <c r="N18" i="5"/>
  <c r="S18" i="5" s="1"/>
  <c r="P18" i="5"/>
  <c r="U18" i="5" s="1"/>
  <c r="Q18" i="5"/>
  <c r="V18" i="5" s="1"/>
  <c r="X18" i="4" l="1"/>
  <c r="B19" i="4" s="1"/>
  <c r="E19" i="4" s="1"/>
  <c r="W18" i="5"/>
  <c r="R18" i="5"/>
  <c r="F19" i="4"/>
  <c r="G19" i="4" l="1"/>
  <c r="K19" i="4" s="1"/>
  <c r="D19" i="4"/>
  <c r="H19" i="4"/>
  <c r="L19" i="4" s="1"/>
  <c r="O19" i="4" s="1"/>
  <c r="T19" i="4" s="1"/>
  <c r="Y18" i="5"/>
  <c r="C19" i="5" s="1"/>
  <c r="X18" i="5"/>
  <c r="B19" i="5" s="1"/>
  <c r="Z19" i="4" l="1"/>
  <c r="J19" i="4"/>
  <c r="F19" i="5"/>
  <c r="D19" i="5"/>
  <c r="E19" i="5"/>
  <c r="N19" i="4"/>
  <c r="S19" i="4" s="1"/>
  <c r="P19" i="4"/>
  <c r="U19" i="4" s="1"/>
  <c r="Q19" i="4"/>
  <c r="V19" i="4" s="1"/>
  <c r="M19" i="4"/>
  <c r="G19" i="5" l="1"/>
  <c r="K19" i="5" s="1"/>
  <c r="W19" i="4"/>
  <c r="R19" i="4"/>
  <c r="H19" i="5"/>
  <c r="L19" i="5" s="1"/>
  <c r="O19" i="5" s="1"/>
  <c r="T19" i="5" s="1"/>
  <c r="X19" i="4" l="1"/>
  <c r="B20" i="4" s="1"/>
  <c r="Y19" i="4"/>
  <c r="C20" i="4" s="1"/>
  <c r="J19" i="5"/>
  <c r="N19" i="5"/>
  <c r="S19" i="5" s="1"/>
  <c r="P19" i="5"/>
  <c r="U19" i="5" s="1"/>
  <c r="Q19" i="5"/>
  <c r="V19" i="5" s="1"/>
  <c r="M19" i="5"/>
  <c r="Z19" i="5"/>
  <c r="R19" i="5" l="1"/>
  <c r="W19" i="5"/>
  <c r="F20" i="4"/>
  <c r="E20" i="4"/>
  <c r="D20" i="4"/>
  <c r="G20" i="4" l="1"/>
  <c r="K20" i="4" s="1"/>
  <c r="H20" i="4"/>
  <c r="L20" i="4" s="1"/>
  <c r="O20" i="4" s="1"/>
  <c r="T20" i="4" s="1"/>
  <c r="Y19" i="5"/>
  <c r="C20" i="5" s="1"/>
  <c r="X19" i="5"/>
  <c r="B20" i="5" s="1"/>
  <c r="Z20" i="4" l="1"/>
  <c r="J20" i="4"/>
  <c r="Q20" i="4"/>
  <c r="V20" i="4" s="1"/>
  <c r="M20" i="4"/>
  <c r="R20" i="4" s="1"/>
  <c r="P20" i="4"/>
  <c r="U20" i="4" s="1"/>
  <c r="N20" i="4"/>
  <c r="S20" i="4" s="1"/>
  <c r="F20" i="5"/>
  <c r="D20" i="5"/>
  <c r="E20" i="5"/>
  <c r="G20" i="5" l="1"/>
  <c r="K20" i="5" s="1"/>
  <c r="W20" i="4"/>
  <c r="Y20" i="4" s="1"/>
  <c r="C21" i="4" s="1"/>
  <c r="H20" i="5"/>
  <c r="L20" i="5" s="1"/>
  <c r="O20" i="5" s="1"/>
  <c r="T20" i="5" s="1"/>
  <c r="Z20" i="5" l="1"/>
  <c r="P20" i="5"/>
  <c r="U20" i="5" s="1"/>
  <c r="N20" i="5"/>
  <c r="S20" i="5" s="1"/>
  <c r="J20" i="5"/>
  <c r="Q20" i="5"/>
  <c r="V20" i="5" s="1"/>
  <c r="M20" i="5"/>
  <c r="X20" i="4"/>
  <c r="B21" i="4" s="1"/>
  <c r="F21" i="4"/>
  <c r="D21" i="4" l="1"/>
  <c r="E21" i="4"/>
  <c r="G21" i="4" s="1"/>
  <c r="W20" i="5"/>
  <c r="R20" i="5"/>
  <c r="H21" i="4" l="1"/>
  <c r="L21" i="4" s="1"/>
  <c r="O21" i="4" s="1"/>
  <c r="T21" i="4" s="1"/>
  <c r="Y20" i="5"/>
  <c r="C21" i="5" s="1"/>
  <c r="X20" i="5"/>
  <c r="B21" i="5" s="1"/>
  <c r="K21" i="4"/>
  <c r="J21" i="4" l="1"/>
  <c r="Z21" i="4"/>
  <c r="P21" i="4"/>
  <c r="U21" i="4" s="1"/>
  <c r="Q21" i="4"/>
  <c r="V21" i="4" s="1"/>
  <c r="M21" i="4"/>
  <c r="N21" i="4"/>
  <c r="S21" i="4" s="1"/>
  <c r="D21" i="5"/>
  <c r="E21" i="5"/>
  <c r="F21" i="5"/>
  <c r="G21" i="5" l="1"/>
  <c r="K21" i="5" s="1"/>
  <c r="R21" i="4"/>
  <c r="W21" i="4" s="1"/>
  <c r="H21" i="5"/>
  <c r="L21" i="5" s="1"/>
  <c r="O21" i="5" s="1"/>
  <c r="T21" i="5" s="1"/>
  <c r="Q21" i="5" l="1"/>
  <c r="V21" i="5" s="1"/>
  <c r="Y21" i="4"/>
  <c r="X21" i="4" s="1"/>
  <c r="Z21" i="5"/>
  <c r="N21" i="5"/>
  <c r="S21" i="5" s="1"/>
  <c r="P21" i="5"/>
  <c r="U21" i="5" s="1"/>
  <c r="J21" i="5"/>
  <c r="M21" i="5"/>
  <c r="W21" i="5" l="1"/>
  <c r="R21" i="5"/>
  <c r="Y21" i="5" l="1"/>
  <c r="C22" i="5" s="1"/>
  <c r="X21" i="5"/>
  <c r="F22" i="5" l="1"/>
  <c r="E22" i="5"/>
  <c r="D22" i="5"/>
  <c r="G22" i="5" l="1"/>
  <c r="K22" i="5" s="1"/>
  <c r="H22" i="5"/>
  <c r="L22" i="5" l="1"/>
  <c r="Z22" i="5"/>
  <c r="J22" i="5"/>
  <c r="O22" i="5" l="1"/>
  <c r="T22" i="5" s="1"/>
  <c r="N22" i="5"/>
  <c r="S22" i="5" s="1"/>
  <c r="M22" i="5"/>
  <c r="P22" i="5"/>
  <c r="U22" i="5" s="1"/>
  <c r="Q22" i="5"/>
  <c r="V22" i="5" s="1"/>
  <c r="W22" i="5" l="1"/>
  <c r="R22" i="5"/>
  <c r="X22" i="5" l="1"/>
  <c r="B23" i="5" s="1"/>
  <c r="Y22" i="5"/>
  <c r="C23" i="5" s="1"/>
  <c r="F23" i="5" l="1"/>
  <c r="E23" i="5"/>
  <c r="D23" i="5"/>
  <c r="G23" i="5" l="1"/>
  <c r="K23" i="5" s="1"/>
  <c r="H23" i="5"/>
  <c r="L23" i="5" s="1"/>
  <c r="O23" i="5" s="1"/>
  <c r="T23" i="5" s="1"/>
  <c r="J23" i="5" l="1"/>
  <c r="N23" i="5"/>
  <c r="S23" i="5" s="1"/>
  <c r="P23" i="5"/>
  <c r="U23" i="5" s="1"/>
  <c r="Q23" i="5"/>
  <c r="V23" i="5" s="1"/>
  <c r="M23" i="5"/>
  <c r="Z23" i="5"/>
  <c r="R23" i="5" l="1"/>
  <c r="W23" i="5" s="1"/>
  <c r="Y23" i="5" l="1"/>
  <c r="C24" i="5" s="1"/>
  <c r="F24" i="5" l="1"/>
  <c r="X23" i="5"/>
  <c r="B24" i="5" s="1"/>
  <c r="E24" i="5" l="1"/>
  <c r="G24" i="5" s="1"/>
  <c r="D24" i="5"/>
  <c r="K24" i="5" l="1"/>
  <c r="H24" i="5"/>
  <c r="L24" i="5" s="1"/>
  <c r="O24" i="5" s="1"/>
  <c r="T24" i="5" s="1"/>
  <c r="Z24" i="5" l="1"/>
  <c r="N24" i="5"/>
  <c r="S24" i="5" s="1"/>
  <c r="P24" i="5"/>
  <c r="U24" i="5" s="1"/>
  <c r="Q24" i="5"/>
  <c r="V24" i="5" s="1"/>
  <c r="M24" i="5"/>
  <c r="J24" i="5"/>
  <c r="R24" i="5" l="1"/>
  <c r="W24" i="5" s="1"/>
  <c r="Y24" i="5" l="1"/>
  <c r="X24" i="5" s="1"/>
</calcChain>
</file>

<file path=xl/sharedStrings.xml><?xml version="1.0" encoding="utf-8"?>
<sst xmlns="http://schemas.openxmlformats.org/spreadsheetml/2006/main" count="248" uniqueCount="118">
  <si>
    <t>Constraint</t>
  </si>
  <si>
    <t>Variable</t>
  </si>
  <si>
    <t>RHS</t>
  </si>
  <si>
    <r>
      <t>W</t>
    </r>
    <r>
      <rPr>
        <sz val="9"/>
        <color theme="1"/>
        <rFont val="Times New Roman"/>
        <family val="1"/>
      </rPr>
      <t>11</t>
    </r>
  </si>
  <si>
    <r>
      <t>W</t>
    </r>
    <r>
      <rPr>
        <sz val="9"/>
        <color theme="1"/>
        <rFont val="Times New Roman"/>
        <family val="1"/>
      </rPr>
      <t>21</t>
    </r>
  </si>
  <si>
    <r>
      <t>W</t>
    </r>
    <r>
      <rPr>
        <sz val="9"/>
        <color theme="1"/>
        <rFont val="Times New Roman"/>
        <family val="1"/>
      </rPr>
      <t>31</t>
    </r>
  </si>
  <si>
    <r>
      <t>W</t>
    </r>
    <r>
      <rPr>
        <sz val="9"/>
        <color theme="1"/>
        <rFont val="Times New Roman"/>
        <family val="1"/>
      </rPr>
      <t>41</t>
    </r>
  </si>
  <si>
    <r>
      <t>W</t>
    </r>
    <r>
      <rPr>
        <sz val="9"/>
        <color theme="1"/>
        <rFont val="Times New Roman"/>
        <family val="1"/>
      </rPr>
      <t>12</t>
    </r>
  </si>
  <si>
    <r>
      <t>W</t>
    </r>
    <r>
      <rPr>
        <sz val="9"/>
        <color theme="1"/>
        <rFont val="Times New Roman"/>
        <family val="1"/>
      </rPr>
      <t>22</t>
    </r>
  </si>
  <si>
    <r>
      <t>W</t>
    </r>
    <r>
      <rPr>
        <sz val="9"/>
        <color theme="1"/>
        <rFont val="Times New Roman"/>
        <family val="1"/>
      </rPr>
      <t>32</t>
    </r>
  </si>
  <si>
    <r>
      <t>W</t>
    </r>
    <r>
      <rPr>
        <sz val="9"/>
        <color theme="1"/>
        <rFont val="Times New Roman"/>
        <family val="1"/>
      </rPr>
      <t>42</t>
    </r>
  </si>
  <si>
    <r>
      <t>X</t>
    </r>
    <r>
      <rPr>
        <sz val="9"/>
        <color theme="1"/>
        <rFont val="Times New Roman"/>
        <family val="1"/>
      </rPr>
      <t>1</t>
    </r>
  </si>
  <si>
    <r>
      <t>X</t>
    </r>
    <r>
      <rPr>
        <sz val="9"/>
        <color theme="1"/>
        <rFont val="Times New Roman"/>
        <family val="1"/>
      </rPr>
      <t>2</t>
    </r>
  </si>
  <si>
    <t>Obj. Fn. Z =</t>
  </si>
  <si>
    <t>≤</t>
  </si>
  <si>
    <t>=</t>
  </si>
  <si>
    <t>Example 8.4.1 from Bishop et al.</t>
  </si>
  <si>
    <t>Piecewise linearization</t>
  </si>
  <si>
    <t>Original Model Formulation:</t>
  </si>
  <si>
    <t>s.t.</t>
  </si>
  <si>
    <r>
      <t>Max Z =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(5 - X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(14 - 6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</si>
  <si>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+ 4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&lt;= 18</t>
    </r>
  </si>
  <si>
    <r>
      <t>6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+ 2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&lt;= 26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</si>
  <si>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&lt;= 5</t>
    </r>
  </si>
  <si>
    <t>Decision variable values</t>
  </si>
  <si>
    <t>Objective function</t>
  </si>
  <si>
    <t>Calced</t>
  </si>
  <si>
    <t>Direction</t>
  </si>
  <si>
    <t>Value</t>
  </si>
  <si>
    <t>(1)</t>
  </si>
  <si>
    <t>(2)</t>
  </si>
  <si>
    <t>(3)</t>
  </si>
  <si>
    <r>
      <t>Define X</t>
    </r>
    <r>
      <rPr>
        <vertAlign val="subscript"/>
        <sz val="12"/>
        <color theme="1"/>
        <rFont val="Times New Roman"/>
        <family val="1"/>
      </rPr>
      <t>1</t>
    </r>
  </si>
  <si>
    <r>
      <t>Define X</t>
    </r>
    <r>
      <rPr>
        <vertAlign val="subscript"/>
        <sz val="12"/>
        <color theme="1"/>
        <rFont val="Times New Roman"/>
        <family val="1"/>
      </rPr>
      <t>2</t>
    </r>
  </si>
  <si>
    <t>Gradient Solution to Problem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</si>
  <si>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</si>
  <si>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</si>
  <si>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Constraint i</t>
  </si>
  <si>
    <t>Constraint ii</t>
  </si>
  <si>
    <t>Constraint iii</t>
  </si>
  <si>
    <r>
      <t>b</t>
    </r>
    <r>
      <rPr>
        <vertAlign val="subscript"/>
        <sz val="11"/>
        <color theme="1"/>
        <rFont val="Calibri"/>
        <family val="2"/>
        <scheme val="minor"/>
      </rPr>
      <t>i</t>
    </r>
  </si>
  <si>
    <t>i</t>
  </si>
  <si>
    <t>ii</t>
  </si>
  <si>
    <t>iii</t>
  </si>
  <si>
    <t>Constraint iv (non-neg)</t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</si>
  <si>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 &gt;= 0</t>
    </r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</si>
  <si>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&gt;= 0</t>
    </r>
  </si>
  <si>
    <t>iv</t>
  </si>
  <si>
    <t>v</t>
  </si>
  <si>
    <r>
      <t>Substitute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X0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Calibri"/>
        <family val="2"/>
      </rPr>
      <t>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h, X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= X0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 xml:space="preserve"> + 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h</t>
    </r>
  </si>
  <si>
    <r>
      <t>Max Z =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(5 - X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(14 - 6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[X0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λ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h]*(5 - [X0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λ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h]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[X0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λ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h]*(14 - 6*[X0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λ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h])</t>
    </r>
  </si>
  <si>
    <t>h</t>
  </si>
  <si>
    <t>Iteration</t>
  </si>
  <si>
    <t>Z</t>
  </si>
  <si>
    <t>Obj. Fun.</t>
  </si>
  <si>
    <t>Normalized Gradient</t>
  </si>
  <si>
    <t>dZ/dH</t>
  </si>
  <si>
    <t>1. Current Point</t>
  </si>
  <si>
    <t>2. Gradient</t>
  </si>
  <si>
    <t>3. Distance to Unconstrained Optimum</t>
  </si>
  <si>
    <t>Notes:</t>
  </si>
  <si>
    <r>
      <t>dZ/dX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(5 - 3 X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</si>
  <si>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dZ/dX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(14 - 12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</si>
  <si>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Constraint Data (pivoted)</t>
  </si>
  <si>
    <t>Offset</t>
  </si>
  <si>
    <r>
      <t>X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</si>
  <si>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</si>
  <si>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dZ/dX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</si>
  <si>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dZ/dX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</si>
  <si>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λ</t>
    </r>
    <r>
      <rPr>
        <b/>
        <vertAlign val="subscript"/>
        <sz val="15.4"/>
        <color theme="1"/>
        <rFont val="Calibri"/>
        <family val="2"/>
      </rPr>
      <t>1</t>
    </r>
  </si>
  <si>
    <r>
      <t>λ</t>
    </r>
    <r>
      <rPr>
        <b/>
        <vertAlign val="subscript"/>
        <sz val="15.4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</si>
  <si>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X</t>
    </r>
    <r>
      <rPr>
        <b/>
        <vertAlign val="subscript"/>
        <sz val="11"/>
        <color theme="1"/>
        <rFont val="Calibri"/>
        <family val="2"/>
      </rPr>
      <t>1</t>
    </r>
    <r>
      <rPr>
        <b/>
        <sz val="11"/>
        <color theme="1"/>
        <rFont val="Calibri"/>
        <family val="2"/>
      </rPr>
      <t xml:space="preserve"> at Opt</t>
    </r>
  </si>
  <si>
    <r>
      <t>X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 xml:space="preserve"> at Opt</t>
    </r>
  </si>
  <si>
    <t>Data for Plotting</t>
  </si>
  <si>
    <t>Point</t>
  </si>
  <si>
    <r>
      <t>X</t>
    </r>
    <r>
      <rPr>
        <b/>
        <vertAlign val="subscript"/>
        <sz val="11"/>
        <color theme="1"/>
        <rFont val="Calibri"/>
        <family val="2"/>
      </rPr>
      <t>1</t>
    </r>
  </si>
  <si>
    <r>
      <t>X</t>
    </r>
    <r>
      <rPr>
        <b/>
        <vertAlign val="subscript"/>
        <sz val="11"/>
        <color theme="1"/>
        <rFont val="Calibri"/>
        <family val="2"/>
      </rPr>
      <t>2</t>
    </r>
  </si>
  <si>
    <t>4. Slack On Constraints @ Unconstrainted Opt</t>
  </si>
  <si>
    <t>Violation on Violated Constraints</t>
  </si>
  <si>
    <t>5. Next Point to Use</t>
  </si>
  <si>
    <t>dZ/dh = 0 = …</t>
  </si>
  <si>
    <r>
      <t>Substitute back to find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,X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at unconstrained optimum:</t>
    </r>
  </si>
  <si>
    <t>4. Calculate Slack on Constraints to see if any violated at unconstrained optimum</t>
  </si>
  <si>
    <r>
      <t xml:space="preserve">       X</t>
    </r>
    <r>
      <rPr>
        <vertAlign val="subscript"/>
        <sz val="11"/>
        <color theme="1"/>
        <rFont val="Calibri"/>
        <family val="2"/>
        <scheme val="minor"/>
      </rPr>
      <t>1opt</t>
    </r>
    <r>
      <rPr>
        <sz val="11"/>
        <color theme="1"/>
        <rFont val="Calibri"/>
        <family val="2"/>
        <scheme val="minor"/>
      </rPr>
      <t xml:space="preserve"> = X0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Calibri"/>
        <family val="2"/>
      </rPr>
      <t>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h, X</t>
    </r>
    <r>
      <rPr>
        <vertAlign val="subscript"/>
        <sz val="15.4"/>
        <color theme="1"/>
        <rFont val="Calibri"/>
        <family val="2"/>
      </rPr>
      <t>2opt</t>
    </r>
    <r>
      <rPr>
        <sz val="15.4"/>
        <color theme="1"/>
        <rFont val="Calibri"/>
        <family val="2"/>
      </rPr>
      <t xml:space="preserve"> = X0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 xml:space="preserve"> + 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h</t>
    </r>
  </si>
  <si>
    <r>
      <t>S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= b</t>
    </r>
    <r>
      <rPr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- (a</t>
    </r>
    <r>
      <rPr>
        <vertAlign val="subscript"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>*X</t>
    </r>
    <r>
      <rPr>
        <vertAlign val="subscript"/>
        <sz val="11"/>
        <color theme="1"/>
        <rFont val="Calibri"/>
        <family val="2"/>
        <scheme val="minor"/>
      </rPr>
      <t>1opt</t>
    </r>
    <r>
      <rPr>
        <sz val="11"/>
        <color theme="1"/>
        <rFont val="Calibri"/>
        <family val="2"/>
        <scheme val="minor"/>
      </rPr>
      <t xml:space="preserve"> - a</t>
    </r>
    <r>
      <rPr>
        <vertAlign val="subscript"/>
        <sz val="11"/>
        <color theme="1"/>
        <rFont val="Calibri"/>
        <family val="2"/>
        <scheme val="minor"/>
      </rPr>
      <t>j2</t>
    </r>
    <r>
      <rPr>
        <sz val="11"/>
        <color theme="1"/>
        <rFont val="Calibri"/>
        <family val="2"/>
        <scheme val="minor"/>
      </rPr>
      <t>*X</t>
    </r>
    <r>
      <rPr>
        <vertAlign val="subscript"/>
        <sz val="11"/>
        <color theme="1"/>
        <rFont val="Calibri"/>
        <family val="2"/>
        <scheme val="minor"/>
      </rPr>
      <t>2opt</t>
    </r>
    <r>
      <rPr>
        <sz val="11"/>
        <color theme="1"/>
        <rFont val="Calibri"/>
        <family val="2"/>
        <scheme val="minor"/>
      </rPr>
      <t>)</t>
    </r>
  </si>
  <si>
    <r>
      <t>If all slacks are positive, use X</t>
    </r>
    <r>
      <rPr>
        <vertAlign val="subscript"/>
        <sz val="11"/>
        <color theme="1"/>
        <rFont val="Calibri"/>
        <family val="2"/>
        <scheme val="minor"/>
      </rPr>
      <t>1opt</t>
    </r>
    <r>
      <rPr>
        <sz val="11"/>
        <color theme="1"/>
        <rFont val="Calibri"/>
        <family val="2"/>
        <scheme val="minor"/>
      </rPr>
      <t>,X</t>
    </r>
    <r>
      <rPr>
        <vertAlign val="subscript"/>
        <sz val="11"/>
        <color theme="1"/>
        <rFont val="Calibri"/>
        <family val="2"/>
        <scheme val="minor"/>
      </rPr>
      <t>2opt</t>
    </r>
    <r>
      <rPr>
        <sz val="11"/>
        <color theme="1"/>
        <rFont val="Calibri"/>
        <family val="2"/>
        <scheme val="minor"/>
      </rPr>
      <t xml:space="preserve"> as next point (within feasible region)</t>
    </r>
  </si>
  <si>
    <t>Otherwise, use the least negative slack, find the intersection between the gradient vector and constraint, and use that intersection as the next point (on boundary of feasible region)</t>
  </si>
  <si>
    <t>Is provided on Iteration #1, is determined in Step #5 on iterations 2 and up.</t>
  </si>
  <si>
    <t>2. Calculate gradient at current point</t>
  </si>
  <si>
    <t>3. Calculate distance to unconstrained optimum</t>
  </si>
  <si>
    <t>Solve for first order conditions (now with one variable h, e.g., use Solver)</t>
  </si>
  <si>
    <t>5. Determine point to use in next iteration</t>
  </si>
  <si>
    <r>
      <t>Max Z =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(5 - X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(14 - 6*8*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</si>
  <si>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Gradient Solution to Problem (Longer, narrower valley (6*8 on X2))</t>
  </si>
  <si>
    <t>Normalize the gradient (convert so magnitude is expressed on a zero to 1 scale)</t>
  </si>
  <si>
    <r>
      <t>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 xml:space="preserve"> = (dZ/dX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)/((dZ/dX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+ (dZ/dX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0.5</t>
    </r>
  </si>
  <si>
    <r>
      <t>λ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= (dZ/dX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)/((dZ/dX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+ (dZ/dX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)</t>
    </r>
    <r>
      <rPr>
        <vertAlign val="superscript"/>
        <sz val="15.4"/>
        <color theme="1"/>
        <rFont val="Calibri"/>
        <family val="2"/>
      </rPr>
      <t>0.5</t>
    </r>
  </si>
  <si>
    <r>
      <t>Substitute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X0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Calibri"/>
        <family val="2"/>
      </rPr>
      <t>λ</t>
    </r>
    <r>
      <rPr>
        <vertAlign val="subscript"/>
        <sz val="15.4"/>
        <color theme="1"/>
        <rFont val="Calibri"/>
        <family val="2"/>
      </rPr>
      <t>1</t>
    </r>
    <r>
      <rPr>
        <sz val="15.4"/>
        <color theme="1"/>
        <rFont val="Calibri"/>
        <family val="2"/>
      </rPr>
      <t>h, X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= X0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 xml:space="preserve"> + λ</t>
    </r>
    <r>
      <rPr>
        <vertAlign val="subscript"/>
        <sz val="15.4"/>
        <color theme="1"/>
        <rFont val="Calibri"/>
        <family val="2"/>
      </rPr>
      <t>2</t>
    </r>
    <r>
      <rPr>
        <sz val="15.4"/>
        <color theme="1"/>
        <rFont val="Calibri"/>
        <family val="2"/>
      </rPr>
      <t>h      [parametric form]</t>
    </r>
  </si>
  <si>
    <t>Solve NLP using Excel Solver</t>
  </si>
  <si>
    <r>
      <t>Where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the original decision variables</t>
    </r>
  </si>
  <si>
    <t>G</t>
  </si>
  <si>
    <t>Subject to</t>
  </si>
  <si>
    <t>k = 1 to 2 original decision variables</t>
  </si>
  <si>
    <r>
      <t>Where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and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are the original decision variables and W</t>
    </r>
    <r>
      <rPr>
        <vertAlign val="subscript"/>
        <sz val="11"/>
        <color theme="1"/>
        <rFont val="Calibri"/>
        <family val="2"/>
        <scheme val="minor"/>
      </rPr>
      <t>ik</t>
    </r>
    <r>
      <rPr>
        <sz val="11"/>
        <color theme="1"/>
        <rFont val="Calibri"/>
        <family val="2"/>
        <scheme val="minor"/>
      </rPr>
      <t xml:space="preserve"> are the piecewise linear variables</t>
    </r>
  </si>
  <si>
    <r>
      <t>i = 1 to 4 piecewise variables for each original decision variable X</t>
    </r>
    <r>
      <rPr>
        <vertAlign val="subscript"/>
        <sz val="11"/>
        <color theme="1"/>
        <rFont val="Calibri"/>
        <family val="2"/>
        <scheme val="minor"/>
      </rPr>
      <t>k</t>
    </r>
  </si>
  <si>
    <r>
      <t>Constraints 1 to m:  Sum((i,k), d</t>
    </r>
    <r>
      <rPr>
        <vertAlign val="subscript"/>
        <sz val="11"/>
        <color theme="1"/>
        <rFont val="Calibri"/>
        <family val="2"/>
        <scheme val="minor"/>
      </rPr>
      <t>mik</t>
    </r>
    <r>
      <rPr>
        <sz val="11"/>
        <color theme="1"/>
        <rFont val="Calibri"/>
        <family val="2"/>
        <scheme val="minor"/>
      </rPr>
      <t>*W</t>
    </r>
    <r>
      <rPr>
        <vertAlign val="subscript"/>
        <sz val="11"/>
        <color theme="1"/>
        <rFont val="Calibri"/>
        <family val="2"/>
        <scheme val="minor"/>
      </rPr>
      <t>ik</t>
    </r>
    <r>
      <rPr>
        <sz val="11"/>
        <color theme="1"/>
        <rFont val="Calibri"/>
        <family val="2"/>
        <scheme val="minor"/>
      </rPr>
      <t>) + Sum(k, e</t>
    </r>
    <r>
      <rPr>
        <vertAlign val="subscript"/>
        <sz val="11"/>
        <color theme="1"/>
        <rFont val="Calibri"/>
        <family val="2"/>
        <scheme val="minor"/>
      </rPr>
      <t>mk</t>
    </r>
    <r>
      <rPr>
        <sz val="11"/>
        <color theme="1"/>
        <rFont val="Calibri"/>
        <family val="2"/>
        <scheme val="minor"/>
      </rPr>
      <t>*X</t>
    </r>
    <r>
      <rPr>
        <vertAlign val="sub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)   &lt;= b</t>
    </r>
    <r>
      <rPr>
        <vertAlign val="subscript"/>
        <sz val="11"/>
        <color theme="1"/>
        <rFont val="Calibri"/>
        <family val="2"/>
        <scheme val="minor"/>
      </rPr>
      <t>m</t>
    </r>
  </si>
  <si>
    <r>
      <rPr>
        <b/>
        <sz val="11"/>
        <color theme="1"/>
        <rFont val="Calibri"/>
        <family val="2"/>
        <scheme val="minor"/>
      </rPr>
      <t>Maximize Z</t>
    </r>
    <r>
      <rPr>
        <sz val="11"/>
        <color theme="1"/>
        <rFont val="Calibri"/>
        <family val="2"/>
        <scheme val="minor"/>
      </rPr>
      <t xml:space="preserve"> = Sum((i,k), c</t>
    </r>
    <r>
      <rPr>
        <vertAlign val="subscript"/>
        <sz val="11"/>
        <color theme="1"/>
        <rFont val="Calibri"/>
        <family val="2"/>
        <scheme val="minor"/>
      </rPr>
      <t>ik</t>
    </r>
    <r>
      <rPr>
        <sz val="11"/>
        <color theme="1"/>
        <rFont val="Calibri"/>
        <family val="2"/>
        <scheme val="minor"/>
      </rPr>
      <t>*W</t>
    </r>
    <r>
      <rPr>
        <vertAlign val="subscript"/>
        <sz val="11"/>
        <color theme="1"/>
        <rFont val="Calibri"/>
        <family val="2"/>
        <scheme val="minor"/>
      </rPr>
      <t>ik</t>
    </r>
    <r>
      <rPr>
        <sz val="11"/>
        <color theme="1"/>
        <rFont val="Calibri"/>
        <family val="2"/>
        <scheme val="minor"/>
      </rPr>
      <t>),   c</t>
    </r>
    <r>
      <rPr>
        <vertAlign val="subscript"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 xml:space="preserve"> = a</t>
    </r>
    <r>
      <rPr>
        <vertAlign val="subscript"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>*(5 - a</t>
    </r>
    <r>
      <rPr>
        <vertAlign val="subscript"/>
        <sz val="11"/>
        <color theme="1"/>
        <rFont val="Calibri"/>
        <family val="2"/>
        <scheme val="minor"/>
      </rPr>
      <t>i1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  c</t>
    </r>
    <r>
      <rPr>
        <vertAlign val="subscript"/>
        <sz val="11"/>
        <color theme="1"/>
        <rFont val="Calibri"/>
        <family val="2"/>
        <scheme val="minor"/>
      </rPr>
      <t>i2</t>
    </r>
    <r>
      <rPr>
        <sz val="11"/>
        <color theme="1"/>
        <rFont val="Calibri"/>
        <family val="2"/>
        <scheme val="minor"/>
      </rPr>
      <t xml:space="preserve"> = a</t>
    </r>
    <r>
      <rPr>
        <vertAlign val="subscript"/>
        <sz val="11"/>
        <color theme="1"/>
        <rFont val="Calibri"/>
        <family val="2"/>
        <scheme val="minor"/>
      </rPr>
      <t>i2</t>
    </r>
    <r>
      <rPr>
        <sz val="11"/>
        <color theme="1"/>
        <rFont val="Calibri"/>
        <family val="2"/>
        <scheme val="minor"/>
      </rPr>
      <t>*(5 - a</t>
    </r>
    <r>
      <rPr>
        <vertAlign val="subscript"/>
        <sz val="11"/>
        <color theme="1"/>
        <rFont val="Calibri"/>
        <family val="2"/>
        <scheme val="minor"/>
      </rPr>
      <t>i2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</si>
  <si>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d</t>
    </r>
    <r>
      <rPr>
        <vertAlign val="subscript"/>
        <sz val="12"/>
        <color theme="1"/>
        <rFont val="Times New Roman"/>
        <family val="1"/>
      </rPr>
      <t>mi1</t>
    </r>
  </si>
  <si>
    <r>
      <t>d</t>
    </r>
    <r>
      <rPr>
        <vertAlign val="subscript"/>
        <sz val="12"/>
        <color theme="1"/>
        <rFont val="Times New Roman"/>
        <family val="1"/>
      </rPr>
      <t>mi2</t>
    </r>
  </si>
  <si>
    <r>
      <t>a</t>
    </r>
    <r>
      <rPr>
        <vertAlign val="subscript"/>
        <sz val="11"/>
        <color theme="1"/>
        <rFont val="Calibri"/>
        <family val="2"/>
        <scheme val="minor"/>
      </rPr>
      <t>ik</t>
    </r>
    <r>
      <rPr>
        <sz val="11"/>
        <color theme="1"/>
        <rFont val="Calibri"/>
        <family val="2"/>
        <scheme val="minor"/>
      </rPr>
      <t xml:space="preserve"> values</t>
    </r>
  </si>
  <si>
    <r>
      <t>Obj. Fn. Coefficients (c</t>
    </r>
    <r>
      <rPr>
        <vertAlign val="subscript"/>
        <sz val="12"/>
        <color theme="1"/>
        <rFont val="Times New Roman"/>
        <family val="1"/>
      </rPr>
      <t>ik</t>
    </r>
    <r>
      <rPr>
        <sz val="12"/>
        <color theme="1"/>
        <rFont val="Times New Roman"/>
        <family val="1"/>
      </rPr>
      <t>)</t>
    </r>
  </si>
  <si>
    <r>
      <t>Use only one W</t>
    </r>
    <r>
      <rPr>
        <vertAlign val="subscript"/>
        <sz val="12"/>
        <color theme="1"/>
        <rFont val="Times New Roman"/>
        <family val="1"/>
      </rPr>
      <t>i1</t>
    </r>
  </si>
  <si>
    <r>
      <t>Use only one W</t>
    </r>
    <r>
      <rPr>
        <vertAlign val="subscript"/>
        <sz val="12"/>
        <color theme="1"/>
        <rFont val="Times New Roman"/>
        <family val="1"/>
      </rPr>
      <t>i2</t>
    </r>
  </si>
  <si>
    <t>Wik = integer variable that takes the value 1 when Xk is on that interval, 0 otherwise</t>
  </si>
  <si>
    <t>dmik = left hand side contraint coefficient for constraint m, piecewise index I, and decision variable k</t>
  </si>
  <si>
    <t>emk = left hand side constraint coefficient for constraint m, original decision variable k</t>
  </si>
  <si>
    <t>gradient search optimal point</t>
  </si>
  <si>
    <t>(3) by X2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</si>
</sst>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2"/>
      <color theme="1"/>
      <name val="Times New Roman"/>
      <family val="1"/>
    </font>
    <font>
      <sz val="11"/>
      <color theme="1"/>
      <name val="Calibri"/>
      <family val="2"/>
    </font>
    <font>
      <sz val="15.4"/>
      <color theme="1"/>
      <name val="Calibri"/>
      <family val="2"/>
    </font>
    <font>
      <vertAlign val="subscript"/>
      <sz val="15.4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5.4"/>
      <color theme="1"/>
      <name val="Calibri"/>
      <family val="2"/>
    </font>
    <font>
      <vertAlign val="superscript"/>
      <sz val="15.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65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4" xfId="0" applyBorder="1" applyAlignment="1">
      <alignment horizontal="center"/>
    </xf>
    <xf numFmtId="0" fontId="2" fillId="0" borderId="11" xfId="0" quotePrefix="1" applyFont="1" applyBorder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4" xfId="0" applyFont="1" applyBorder="1"/>
    <xf numFmtId="0" fontId="1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1" fillId="5" borderId="24" xfId="0" applyFont="1" applyFill="1" applyBorder="1"/>
    <xf numFmtId="0" fontId="10" fillId="5" borderId="24" xfId="0" applyFont="1" applyFill="1" applyBorder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164" fontId="0" fillId="4" borderId="24" xfId="0" applyNumberForma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165" fontId="0" fillId="2" borderId="24" xfId="0" applyNumberFormat="1" applyFill="1" applyBorder="1" applyAlignment="1">
      <alignment horizontal="center"/>
    </xf>
    <xf numFmtId="164" fontId="0" fillId="2" borderId="24" xfId="0" applyNumberFormat="1" applyFill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0" fillId="0" borderId="0" xfId="0" quotePrefix="1"/>
    <xf numFmtId="0" fontId="1" fillId="0" borderId="0" xfId="0" quotePrefix="1" applyFont="1"/>
    <xf numFmtId="2" fontId="0" fillId="5" borderId="24" xfId="0" applyNumberFormat="1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1" fillId="0" borderId="25" xfId="0" applyFont="1" applyBorder="1"/>
    <xf numFmtId="0" fontId="0" fillId="2" borderId="24" xfId="0" applyFill="1" applyBorder="1" applyAlignment="1">
      <alignment horizontal="center"/>
    </xf>
    <xf numFmtId="0" fontId="7" fillId="0" borderId="0" xfId="0" applyFont="1"/>
    <xf numFmtId="0" fontId="2" fillId="8" borderId="13" xfId="0" quotePrefix="1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2" fontId="2" fillId="8" borderId="15" xfId="0" applyNumberFormat="1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8" borderId="38" xfId="0" quotePrefix="1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center" vertical="center" wrapText="1"/>
    </xf>
    <xf numFmtId="0" fontId="2" fillId="10" borderId="36" xfId="0" quotePrefix="1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2" fillId="8" borderId="40" xfId="0" quotePrefix="1" applyFont="1" applyFill="1" applyBorder="1" applyAlignment="1">
      <alignment horizontal="center" vertical="center" wrapText="1"/>
    </xf>
    <xf numFmtId="0" fontId="2" fillId="8" borderId="41" xfId="0" applyFont="1" applyFill="1" applyBorder="1" applyAlignment="1">
      <alignment horizontal="center" vertical="center" wrapText="1"/>
    </xf>
    <xf numFmtId="2" fontId="2" fillId="8" borderId="42" xfId="0" applyNumberFormat="1" applyFont="1" applyFill="1" applyBorder="1" applyAlignment="1">
      <alignment horizontal="center" vertical="center" wrapText="1"/>
    </xf>
    <xf numFmtId="0" fontId="2" fillId="8" borderId="42" xfId="0" applyFont="1" applyFill="1" applyBorder="1" applyAlignment="1">
      <alignment horizontal="center" vertical="center" wrapText="1"/>
    </xf>
    <xf numFmtId="0" fontId="2" fillId="8" borderId="4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9" borderId="44" xfId="0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2" fillId="9" borderId="48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24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 vertical="center" wrapText="1"/>
    </xf>
    <xf numFmtId="0" fontId="2" fillId="9" borderId="32" xfId="0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center" vertical="center" wrapText="1"/>
    </xf>
    <xf numFmtId="0" fontId="2" fillId="9" borderId="35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2" fillId="9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16229221347331"/>
          <c:y val="6.8356663750364532E-2"/>
          <c:w val="0.74761504811898516"/>
          <c:h val="0.64182013706620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'Gradient-6'!$A$52</c:f>
              <c:strCache>
                <c:ptCount val="1"/>
                <c:pt idx="0">
                  <c:v>Constraint 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'Gradient-6'!$B$52:$B$53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xVal>
          <c:yVal>
            <c:numRef>
              <c:f>'Gradient-6'!$C$52:$C$53</c:f>
              <c:numCache>
                <c:formatCode>General</c:formatCode>
                <c:ptCount val="2"/>
                <c:pt idx="0">
                  <c:v>4.5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6-41E9-A2CA-258EA8C1351D}"/>
            </c:ext>
          </c:extLst>
        </c:ser>
        <c:ser>
          <c:idx val="1"/>
          <c:order val="1"/>
          <c:tx>
            <c:strRef>
              <c:f>'Gradient-6'!$A$54</c:f>
              <c:strCache>
                <c:ptCount val="1"/>
                <c:pt idx="0">
                  <c:v>Constraint 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'Gradient-6'!$B$54:$B$55</c:f>
              <c:numCache>
                <c:formatCode>General</c:formatCode>
                <c:ptCount val="2"/>
                <c:pt idx="0">
                  <c:v>4.333333333333333</c:v>
                </c:pt>
                <c:pt idx="1">
                  <c:v>0</c:v>
                </c:pt>
              </c:numCache>
            </c:numRef>
          </c:xVal>
          <c:yVal>
            <c:numRef>
              <c:f>'Gradient-6'!$C$54:$C$55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96-41E9-A2CA-258EA8C1351D}"/>
            </c:ext>
          </c:extLst>
        </c:ser>
        <c:ser>
          <c:idx val="2"/>
          <c:order val="2"/>
          <c:tx>
            <c:strRef>
              <c:f>'Gradient-6'!$A$56</c:f>
              <c:strCache>
                <c:ptCount val="1"/>
                <c:pt idx="0">
                  <c:v>Constraint iii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'Gradient-6'!$B$56:$B$57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xVal>
          <c:yVal>
            <c:numRef>
              <c:f>'Gradient-6'!$C$56:$C$57</c:f>
              <c:numCache>
                <c:formatCode>0.000</c:formatCode>
                <c:ptCount val="2"/>
                <c:pt idx="0">
                  <c:v>2.2360679774997898</c:v>
                </c:pt>
                <c:pt idx="1">
                  <c:v>2.2360679774997898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96-41E9-A2CA-258EA8C1351D}"/>
            </c:ext>
          </c:extLst>
        </c:ser>
        <c:ser>
          <c:idx val="3"/>
          <c:order val="3"/>
          <c:tx>
            <c:strRef>
              <c:f>'Gradient-6'!$A$14</c:f>
              <c:strCache>
                <c:ptCount val="1"/>
                <c:pt idx="0">
                  <c:v>Iteration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'Gradient-6'!$B$16:$B$20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0.46297780489977169</c:v>
                </c:pt>
                <c:pt idx="2">
                  <c:v>1.2122770608531073</c:v>
                </c:pt>
                <c:pt idx="3">
                  <c:v>1.2637586185739333</c:v>
                </c:pt>
                <c:pt idx="4">
                  <c:v>1.2893698295021934</c:v>
                </c:pt>
              </c:numCache>
            </c:numRef>
          </c:xVal>
          <c:yVal>
            <c:numRef>
              <c:f>'Gradient-6'!$C$16:$C$20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1.2963378537193608</c:v>
                </c:pt>
                <c:pt idx="2">
                  <c:v>1.0287311468228906</c:v>
                </c:pt>
                <c:pt idx="3">
                  <c:v>1.1728793242701598</c:v>
                </c:pt>
                <c:pt idx="4">
                  <c:v>1.1637323390619303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96-41E9-A2CA-258EA8C1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70024"/>
        <c:axId val="265970416"/>
      </c:scatterChart>
      <c:valAx>
        <c:axId val="26597002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70416"/>
        <c:crosses val="autoZero"/>
        <c:crossBetween val="midCat"/>
      </c:valAx>
      <c:valAx>
        <c:axId val="26597041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70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74956255468067"/>
          <c:y val="8.9119276757072027E-2"/>
          <c:w val="0.24380599300087488"/>
          <c:h val="0.26620589093030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16229221347331"/>
          <c:y val="6.8356663750364532E-2"/>
          <c:w val="0.74761504811898516"/>
          <c:h val="0.64182013706620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'Gradient-42'!$A$55</c:f>
              <c:strCache>
                <c:ptCount val="1"/>
                <c:pt idx="0">
                  <c:v>Constraint 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'Gradient-42'!$B$55:$B$56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xVal>
          <c:yVal>
            <c:numRef>
              <c:f>'Gradient-42'!$C$55:$C$56</c:f>
              <c:numCache>
                <c:formatCode>General</c:formatCode>
                <c:ptCount val="2"/>
                <c:pt idx="0">
                  <c:v>4.5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3-4055-9688-6EDD0F214CBE}"/>
            </c:ext>
          </c:extLst>
        </c:ser>
        <c:ser>
          <c:idx val="1"/>
          <c:order val="1"/>
          <c:tx>
            <c:strRef>
              <c:f>'Gradient-42'!$A$57</c:f>
              <c:strCache>
                <c:ptCount val="1"/>
                <c:pt idx="0">
                  <c:v>Constraint ii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'Gradient-42'!$B$57:$B$58</c:f>
              <c:numCache>
                <c:formatCode>General</c:formatCode>
                <c:ptCount val="2"/>
                <c:pt idx="0">
                  <c:v>4.333333333333333</c:v>
                </c:pt>
                <c:pt idx="1">
                  <c:v>0</c:v>
                </c:pt>
              </c:numCache>
            </c:numRef>
          </c:xVal>
          <c:yVal>
            <c:numRef>
              <c:f>'Gradient-42'!$C$57:$C$58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E3-4055-9688-6EDD0F214CBE}"/>
            </c:ext>
          </c:extLst>
        </c:ser>
        <c:ser>
          <c:idx val="2"/>
          <c:order val="2"/>
          <c:tx>
            <c:strRef>
              <c:f>'Gradient-42'!$A$59</c:f>
              <c:strCache>
                <c:ptCount val="1"/>
                <c:pt idx="0">
                  <c:v>Constraint iii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'Gradient-42'!$B$59:$B$60</c:f>
              <c:numCache>
                <c:formatCode>General</c:formatCode>
                <c:ptCount val="2"/>
                <c:pt idx="0">
                  <c:v>0</c:v>
                </c:pt>
                <c:pt idx="1">
                  <c:v>18</c:v>
                </c:pt>
              </c:numCache>
            </c:numRef>
          </c:xVal>
          <c:yVal>
            <c:numRef>
              <c:f>'Gradient-42'!$C$59:$C$60</c:f>
              <c:numCache>
                <c:formatCode>0.000</c:formatCode>
                <c:ptCount val="2"/>
                <c:pt idx="0">
                  <c:v>2.2360679774997898</c:v>
                </c:pt>
                <c:pt idx="1">
                  <c:v>2.2360679774997898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E3-4055-9688-6EDD0F214CBE}"/>
            </c:ext>
          </c:extLst>
        </c:ser>
        <c:ser>
          <c:idx val="3"/>
          <c:order val="3"/>
          <c:tx>
            <c:strRef>
              <c:f>'Gradient-42'!$A$14</c:f>
              <c:strCache>
                <c:ptCount val="1"/>
                <c:pt idx="0">
                  <c:v>Iteration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'Gradient-42'!$B$16:$B$20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5.8712875209245126E-2</c:v>
                </c:pt>
                <c:pt idx="2">
                  <c:v>0.46585228786288019</c:v>
                </c:pt>
                <c:pt idx="3">
                  <c:v>0.51673277625322034</c:v>
                </c:pt>
                <c:pt idx="4">
                  <c:v>0.80861142624592208</c:v>
                </c:pt>
              </c:numCache>
            </c:numRef>
          </c:xVal>
          <c:yVal>
            <c:numRef>
              <c:f>'Gradient-42'!$C$16:$C$20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0.16439605058588638</c:v>
                </c:pt>
                <c:pt idx="2">
                  <c:v>1.898911741859366E-2</c:v>
                </c:pt>
                <c:pt idx="3">
                  <c:v>0.1614544720691726</c:v>
                </c:pt>
                <c:pt idx="4">
                  <c:v>5.7212087678790796E-2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E3-4055-9688-6EDD0F214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71200"/>
        <c:axId val="264272440"/>
      </c:scatterChart>
      <c:valAx>
        <c:axId val="265971200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72440"/>
        <c:crosses val="autoZero"/>
        <c:crossBetween val="midCat"/>
      </c:valAx>
      <c:valAx>
        <c:axId val="26427244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7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674956255468067"/>
          <c:y val="8.9119276757072027E-2"/>
          <c:w val="0.24380599300087488"/>
          <c:h val="0.26620589093030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122464</xdr:colOff>
      <xdr:row>22</xdr:row>
      <xdr:rowOff>94568</xdr:rowOff>
    </xdr:from>
    <xdr:to>
      <xdr:col>17</xdr:col>
      <xdr:colOff>244929</xdr:colOff>
      <xdr:row>47</xdr:row>
      <xdr:rowOff>109535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122464</xdr:colOff>
      <xdr:row>25</xdr:row>
      <xdr:rowOff>94568</xdr:rowOff>
    </xdr:from>
    <xdr:to>
      <xdr:col>17</xdr:col>
      <xdr:colOff>244929</xdr:colOff>
      <xdr:row>50</xdr:row>
      <xdr:rowOff>109535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479169</xdr:colOff>
      <xdr:row>2</xdr:row>
      <xdr:rowOff>26022</xdr:rowOff>
    </xdr:from>
    <xdr:to>
      <xdr:col>14</xdr:col>
      <xdr:colOff>160976</xdr:colOff>
      <xdr:row>13</xdr:row>
      <xdr:rowOff>124611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53AEB45-5DD2-4E20-9C6F-23980CC4952D}"/>
                </a:ext>
              </a:extLst>
            </xdr14:cNvPr>
            <xdr14:cNvContentPartPr/>
          </xdr14:nvContentPartPr>
          <xdr14:nvPr macro=""/>
          <xdr14:xfrm>
            <a:off x="6939360" y="384610"/>
            <a:ext cx="2735410" cy="2261325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53AEB45-5DD2-4E20-9C6F-23980CC495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21300" y="278378"/>
              <a:ext cx="2771169" cy="247343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296449</xdr:colOff>
      <xdr:row>1</xdr:row>
      <xdr:rowOff>30291</xdr:rowOff>
    </xdr:from>
    <xdr:to>
      <xdr:col>14</xdr:col>
      <xdr:colOff>545751</xdr:colOff>
      <xdr:row>10</xdr:row>
      <xdr:rowOff>143799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D1B04EB-4F53-41E8-9DFE-89CB5697D4E8}"/>
                </a:ext>
              </a:extLst>
            </xdr14:cNvPr>
            <xdr14:cNvContentPartPr/>
          </xdr14:nvContentPartPr>
          <xdr14:nvPr macro=""/>
          <xdr14:xfrm>
            <a:off x="6145920" y="209585"/>
            <a:ext cx="3913625" cy="1889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D1B04EB-4F53-41E8-9DFE-89CB5697D4E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137257" y="200735"/>
              <a:ext cx="3931312" cy="19069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5T17:00:11.684"/>
    </inkml:context>
    <inkml:brush xml:id="br0">
      <inkml:brushProperty name="width" value="0.1" units="cm"/>
      <inkml:brushProperty name="height" value="0.6" units="cm"/>
      <inkml:brushProperty name="color" value="#E71224"/>
      <inkml:brushProperty name="ignorePressure" value="1"/>
      <inkml:brushProperty name="inkEffects" value="pencil"/>
    </inkml:brush>
  </inkml:definitions>
  <inkml:trace contextRef="#ctx0" brushRef="#br0">301 4214,'0'-3,"0"-3,0-4,0-1,3-3,3-5,1 0,-1-2,1 1,0 2,1 1,1 1,0 2,-2-1,1 0,-1 0,-2 0,1 0,0-1,-2 1,1-1,3-1,3-3,1 2,2-3,4 0,3-1,5-6,2-3,5 0,1-2,1-2,-3 2,-2 4,-6 1,-2 6,-4 2,0-2,-4 1,2 3,0 1,3-1,1-1,2-4,6-3,2-2,0 2,0 1,-4 3,-2 3,2-1,2-2,0-1,-1 5,-5-1,0-1,-2-1,2 1,-1 1,-2-2,2-1,3-3,-1 2,1 1,2-2,0 1,2-3,2-3,-1-2,2 1,4 0,4-2,2 0,1 0,-5 3,-3 2,-8 6,-5 4,-1 4,-2 1,1 2,2 4,8-4,5-2,6 0,3-6,5-3,0-6,-3 2,-1 2,-6 1,-7 5,-5 6,-5 3,-6 3,0 0,2 0,1-4,1-1,6-2,16-8,9-7,11-4,14-6,10-3,-1-2,-3 3,-6 5,-14 5,-14 8,-13 7,-10 3,-2 5,-2 2,0 3,4-2,1 0,0 0,0 1,-2-3,0 1,0-2,-3-1,-1 3,1 0,7 2,11-5,11-6,5-6,12-3,3 4,-5 3,-9 5,-10 4,-8 3,-8 3,-5 0,-5 1,-1 0,0-1,5 1,9 0,10-1,7 0,10 0,4-3,3 0,-5 0,-8 0,-10 1,-9 1,-9-3,-5 1,-4-1,1 2,3 0,8 1,10 1,10 0,6 0,6 0,-1 0,-4 0,-7 0,-6 0,-7 0,-3 0,0 0,-1 0,-1 0,6 0,7 0,4 0,-4 0,0 0,-3 0,-6 0,-5 0,-6 0,-3 0,-4 0,3 0,2 0,6 0,8 0,6 0,2 0,1 0,2 0,-6 0,-3 0,0 0,1 0,2 0,0 0,-5 0,-3 0,-3 0,-3 0,-2 0,-1 0,-1 0,-1 0,-3 0,2 0,3 0,5 0,3 0,1 0,-1 0,-4 0,-4 0,-3 0,-3 0,-1 0,2 0,3 0,3 0,3 0,3-2,3-2,1 1,1 0,2 1,3 0,2 2,-4 0,-2 0,-2 0,-5 0,-4 0,-3 0,-4 0,-2 0,-1 0,0 0,2 0,1 0,3 0,1 0,-2 0,-1 0,-1 0,-1 0,-1 0,0 0,-1 0,1 0,-1 0,3 0,1 0,-1 0,-5 0,-8-2,-7-2,-6 1,-7-3,-4 2,-1-1,1 2,2-2,3 0,0-2,-2-3,1-5,1-2,3 0,3 0,-3 3,4 3,8 10,7 7,4 3,3-1,2 1,0 0,0 0,0-1,-4 0,0 0,-1 0,1 2,1-2,-2 2,-4 4,-2 4,-3 6,-1 3,-2-1,-3-5,-1-2,-5-3,-4 0,-2-2,-1 0,-1-1,3-5</inkml:trace>
  <inkml:trace contextRef="#ctx0" brushRef="#br0" timeOffset="5754.28">4903 1097,'0'-4,"0"-11,0-8,0-5,0-8,0-5,0-7,0-4,0 1,3-1,1 5,-1 5,0 4,-1 3,2 5,0 5,0 2,-1 1,-2 3,0-1,0 0,-1 1,0 1,0 1,0 1,-1 1,1-1,0 0,0 2,0-2,0 4</inkml:trace>
  <inkml:trace contextRef="#ctx0" brushRef="#br0" timeOffset="7034.58">4895 250,'-3'0,"-3"3,-6 3,-4 3,-7 3,1 2,1-2,4-7,16-13,16-16,15-14,11-5,12-4,3 0,-4 7,-8 7,-9 12,-10 11,-9 12,-8 9,-5 6,-3 6,-2 3,0 0,0-1,1-3,2 0,2 0,0-2,0-2,-1-4</inkml:trace>
  <inkml:trace contextRef="#ctx0" brushRef="#br0" timeOffset="40359.22">301 4121,'0'2,"0"7,0 7,0 3,0 1,-3 3,-3-1,0 2,-3 2,1-2,-1-1,1 1,-1-3,1 0,3-2,-2-2,1-1,2 0,-2-4,1 3,-2 2,1 3,0 4,3 9,1 8,0 6,2 1,0 0,0-3,0-7,1-4,-1-5,0-3,-2 3,-2 1,1 3,1 2,0 2,1 6,0 3,1-1,0-2,0-7,0-6,0-7,0-2,0-5,0 2,0 0,0-1,-2 2,-2 7,1 3,-3-1,1-2,0-2,2-5,0 0,2-3,-2-3,0 1,0 1,0 4,2-1,0 4,-2-2,-1-3,-2 2,0-1,0 4,0 1,0 0,-1 3,-3 0,1-1,2-1,2-4,0-1,0-2,1-1,1-1,2 3,0 0,-2 4,-3-2,-1 0,1-3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10-05T17:00:00.553"/>
    </inkml:context>
    <inkml:brush xml:id="br0">
      <inkml:brushProperty name="width" value="0.05" units="cm"/>
      <inkml:brushProperty name="height" value="0.05" units="cm"/>
      <inkml:brushProperty name="color" value="#004F8B"/>
      <inkml:brushProperty name="ignorePressure" value="1"/>
    </inkml:brush>
  </inkml:definitions>
  <inkml:trace contextRef="#ctx0" brushRef="#br0">2116 70,'16'311,"-16"3956,6-4063,-5-201,0-1,1 0,0 1,0-1,0 0,1 0,-1 0,0 0,1-1,-1 1,1-1,0 1,-1-1,1 0,0-1,0 1,0 0,0-1,0 1,-1-1,1 0,0 0,0 0,0 0,0 0,1-1,10 2,583 33,149-31,-448-4,1970 0,-939 85,193-45,-1105-23,813-17,-1225 1,45-4,-58-29,-202-161,180 169,7 5,38 24,298 123,-311-126,1 0,0 0,-1 0,1 0,-1 0,1 0,-1 1,0-1,1 1,-1 0,0 0,0 0,0 0,-1 0,1 1,0-1,-1 1,1-1,-1 1,0-1,0 1,0 0,0-2,0 2,-1 0,1 0,-1 0,0 0,0-1,0 1,0 0,0 0,-1 0,1 0,-1 0,0-1,1 0,-1 1,-1-1,1 1,0 0,-1-1,1 0,-1 1,0-1,1 0,-1 0,0 0,-1 1,-267 173,253-177,7-7</inkml:trace>
  <inkml:trace contextRef="#ctx0" brushRef="#br0" timeOffset="2450.61">2170 0,'-79'67,"-126"173,190-230,43-54,171-137,-197 179,-1 0,1 0,0 0,1 0,-1 0,0 0,0 1,1-1,-1 1,1 0,-1-1,1 1,-1 0,1 1,0-1,0 0,-2 1,2 0,0-1,0 1,0 0,-1 1,1-1,0 0,0 1,-1-1,1 1,0 0,-1 0,1 0,-1 1,1-1,-1 0,1 1,-1 0,0-1,0 1,0 0,0 0,0 0,0 1,0-1,0 1,144 191,-122-169</inkml:trace>
  <inkml:trace contextRef="#ctx0" brushRef="#br0" timeOffset="26170.2">3320 4150,'3661'0,"-3630"0,-1-1,2-2,-2-1,1-2,0-1,22-7,-14-1,0 0,-1-3,0-1,-2-2,28-21,170-224,-203 234,69-70,-6-5,76-112,-24-30,-83 120,-6-3,-5-2,-7-3,-6-1,-4-9,-34 147,52-299,32-205,-41 452,-38 47,-1-1,-1 1,1-1,-1 0,0-1,-1 2,1-2,-1 1,0-1,-1 0,0 0,0 1,0-2,-1 1,0 0,0-1,-1 0,2-6,49-482,-33-16,-19 513,1 0,-1-1,1 1,-1 0,1-1,-1 1,1-1,-1 1,0-1,1 1,-1-1,0 0,1 1,-1-1,0 0,1 1,-1-1,0 0,0 0,1 0,-1 0,0 0,0 0,1 0,-1 0,0 0,0 0,1 0,-1 0,0 0,0-1,1 1,-1 0,0-1,1 1,-1 0,0-1,1 1,-1-1,1 1,-1-1,1 1,-1-1,1 1,-1-1,1 0,-1 1,1-1,0 0,-1 0,1 1,0-1,0 0,-1 1,1-1,0 0,0 0,0 0,0 1,0-1,0 0,0 0,0 1,0-1,0 0,1 0,-1 0,-50 59,41-48,-13 16,288-234,-264 207,0 0,0 0,0 0,0 0,0 1,0-1,0 0,0 1,0-1,0 1,0 0,0 0,0 0,0 0,1 0,-1 0,0 1,0-1,0 0,0 1,0 0,0 0,0 0,0-1,0 2,-1-1,1 0,0 0,-1 1,1-1,-2 0,2 1,-1 0,1-1,-1 1,0 0,0 0,0 0,0 0,0 0,0 0,-1-1,1 1,-1 0,1 0,-1 0,0 0,0 0,0 1,0-1,0 0,0 0,0 0,-1 2,4 10,41 136,-36-124</inkml:trace>
  <inkml:trace contextRef="#ctx0" brushRef="#br0" timeOffset="83726">195 4755,'25'-276,"-19"-26,8-317,10 188,3 89,31 41,2 103,59-85,53-57,-167 328,-4 4,1 1,0 0,1 0,-2-1,3 1,-1 1,0-1,1 1,1-1,-1 1,1 0,0 1,0-1,1 1,-1 0,1 0,0 0,1 1,-1 0,1 0,0 1,0 0,0 0,0 1,0-1,3 1,3-1,-1 0,0 1,1 1,0 0,-1 0,0 1,1 1,-1 1,1-1,-1 2,0 0,1 0,-1 1,0 1,-1 0,1 0,-1 1,0 0,-1 1,0 1,0-1,0 1,3 6,38 126,-17-29,148 327,-13-58,-157-348,0-1,2 0,2-1,1 0,1 0,1-3,2 0,1-1,-1 0,3-2,1 0,1-2,1-1,1-1,1-2,0 0,1-2,1-2,0 0,10 1,-31-11,0-1,0 0,0-1,0 0,1 0,-1-1,1 0,-2-1,1 0,1-1,-1 0,1-1,-1 0,0 0,0-1,0-1,0 0,-1 0,1 0,-1-1,0 0,6-7,43-38,-1-4,-3-2,-2-2,34-52,106-257,-179 347,63-90,-5-4,40-91,63-158,-161 344,61-87,-6-1,-4-3,46-110,90-324,-140 356,-9 48,-52 140,1 0,-1 1,0-1,1 0,-1 1,0-1,1 0,-1 0,0 0,0 0,1 1,-1-1,0 0,0 0,1-1,-1 1,0 0,0 0,1 0,-1 0,0-1,1 1,-1 0,0-1,1 1,-1 0,0-1,1 1,-1-1,1 1,-1-1,0 1,1-1,0 0,-1 1,1-1,-1 0,1 1,0-1,-1 0,1 1,0-1,0 1,0-1,-1 1,1-1,0 0,0 0,0 1,0-1,0 0,0 0,0 1,1-1,-1 0,0 0,0 1,1-1,-1 0,0 1,1-1,-1 0,1 0,-61 32,58-30,-116 88,119-89,0-1,-1 1,1-1,-1 0,1 1,-1-1,1 1,-1-1,1 0,-1 1,1-1,-1 0,0 0,0 1,1-1,-1 0,0 0,0 0,0 1,0-1,0 0,0 0,0 0,0 1,0-1,0 0,0 0,0 0,-1 1,1-1,0 0,-1 0,1 1,0-1,-1 0,1 1,-1-1,1 0,-1 1,1-1,-1 1,0-1,1 1,-1-1,1 1,-1 0,0 0,0 0,1 0,-1-1,0 1,0 0,1 0,-1 0,0-1,0 1,0 0,1 0,-1 0,0 0,0 1,0-1,9-9,1 2,1-1,-1 1,1 1,0 0,1 0,-1 1,1 0,0 0,0 1,0 1,6 0,-13 4,-1 1,-1 1,1 0,0-1,-1 1,1 0,-1 0,0 0,0 1,0-1,0 1,-1-1,1 0,-1 0,0 1,0 0,0-1,-1 1,1 0,-1 0,0 0,0 0,0-2,-1 2,1 0,-1 0,-1 3,2 7,4 38,-1-32</inkml:trace>
  <inkml:trace contextRef="#ctx0" brushRef="#br0" timeOffset="85656.26">1 4579,'13'3,"0"0,0 1,0 1,-1 0,0 1,1 0,-2-1,0 3,0-1,0 1,-1 1,5 4,-6-6,14 16,-22-22,0 0,-1 1,1 0,0-1,0 1,0-1,0 1,1-1,-1 0,0 1,0-1,1 0,-1 0,1 0,-1 0,1 0,-1 0,1-1,0 1,-1 0,1-1,0 0,0 1,-1-1,1 0,0 0,0 0,0 0,-1 0,1 0,0 0,0-1,-1 1,1-1,0 1,-1-1,1 0,0 1,-1-1,1 0,-1 0,1 0,-1-1,0 1,1 0,-1 0,1-2,268-318,-254 305</inkml:trace>
  <inkml:trace contextRef="#ctx0" brushRef="#br0" timeOffset="94050.83">779 2601,'318'-31,"770"31,-522-58,-199-35,-48 14,-207 26,-105 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opLeftCell="A4" zoomScale="74" zoomScaleNormal="140" workbookViewId="0">
      <selection activeCell="B21" sqref="B21"/>
    </sheetView>
  </sheetViews>
  <sheetFormatPr defaultRowHeight="14.4" x14ac:dyDescent="0.3"/>
  <cols>
    <col min="1" max="1" width="11.77734375" customWidth="1"/>
    <col min="2" max="3" width="8.44140625" customWidth="1"/>
    <col min="5" max="6" width="9.21875" customWidth="1"/>
    <col min="7" max="7" width="8.44140625" customWidth="1"/>
    <col min="8" max="8" width="10.21875" customWidth="1"/>
    <col min="11" max="11" width="9" customWidth="1"/>
    <col min="12" max="12" width="9.77734375" customWidth="1"/>
    <col min="13" max="13" width="9.21875" customWidth="1"/>
    <col min="14" max="14" width="8.21875" customWidth="1"/>
    <col min="15" max="15" width="12" customWidth="1"/>
    <col min="16" max="22" width="8.21875" customWidth="1"/>
    <col min="23" max="23" width="6.77734375" customWidth="1"/>
    <col min="24" max="24" width="8" customWidth="1"/>
    <col min="25" max="25" width="8.21875" customWidth="1"/>
  </cols>
  <sheetData>
    <row r="1" spans="1:26" x14ac:dyDescent="0.3">
      <c r="A1" t="s">
        <v>16</v>
      </c>
    </row>
    <row r="2" spans="1:26" x14ac:dyDescent="0.3">
      <c r="A2" s="5" t="s">
        <v>34</v>
      </c>
    </row>
    <row r="4" spans="1:26" x14ac:dyDescent="0.3">
      <c r="A4" t="s">
        <v>18</v>
      </c>
    </row>
    <row r="5" spans="1:26" ht="16.8" x14ac:dyDescent="0.35">
      <c r="A5" t="s">
        <v>20</v>
      </c>
      <c r="I5" t="s">
        <v>63</v>
      </c>
    </row>
    <row r="6" spans="1:26" ht="15.6" x14ac:dyDescent="0.35">
      <c r="A6" t="s">
        <v>19</v>
      </c>
      <c r="E6" s="6" t="s">
        <v>35</v>
      </c>
      <c r="F6" s="6" t="s">
        <v>36</v>
      </c>
      <c r="G6" s="6" t="s">
        <v>40</v>
      </c>
      <c r="I6" s="6" t="s">
        <v>40</v>
      </c>
      <c r="J6" s="6">
        <v>18</v>
      </c>
      <c r="K6" s="6">
        <v>26</v>
      </c>
      <c r="L6" s="11">
        <f>SQRT(5)</f>
        <v>2.2360679774997898</v>
      </c>
      <c r="M6" s="11">
        <v>0</v>
      </c>
      <c r="N6" s="11">
        <v>0</v>
      </c>
    </row>
    <row r="7" spans="1:26" ht="15.6" x14ac:dyDescent="0.35">
      <c r="A7" t="s">
        <v>37</v>
      </c>
      <c r="C7" t="s">
        <v>21</v>
      </c>
      <c r="E7" s="6">
        <v>1</v>
      </c>
      <c r="F7" s="6">
        <v>4</v>
      </c>
      <c r="G7" s="6">
        <v>18</v>
      </c>
      <c r="I7" s="6" t="s">
        <v>35</v>
      </c>
      <c r="J7" s="6">
        <v>1</v>
      </c>
      <c r="K7" s="6">
        <v>6</v>
      </c>
      <c r="L7" s="6"/>
      <c r="M7" s="6">
        <v>-1</v>
      </c>
      <c r="N7" s="6"/>
    </row>
    <row r="8" spans="1:26" ht="15.6" x14ac:dyDescent="0.35">
      <c r="A8" t="s">
        <v>38</v>
      </c>
      <c r="C8" t="s">
        <v>22</v>
      </c>
      <c r="E8" s="6">
        <v>6</v>
      </c>
      <c r="F8" s="6">
        <v>2</v>
      </c>
      <c r="G8" s="6">
        <v>26</v>
      </c>
      <c r="I8" s="6" t="s">
        <v>36</v>
      </c>
      <c r="J8" s="6">
        <v>4</v>
      </c>
      <c r="K8" s="6">
        <v>2</v>
      </c>
      <c r="L8" s="6">
        <v>1</v>
      </c>
      <c r="M8" s="6"/>
      <c r="N8" s="6">
        <v>-1</v>
      </c>
    </row>
    <row r="9" spans="1:26" ht="16.8" x14ac:dyDescent="0.35">
      <c r="A9" t="s">
        <v>39</v>
      </c>
      <c r="C9" t="s">
        <v>23</v>
      </c>
      <c r="E9" s="6"/>
      <c r="F9" s="6">
        <v>1</v>
      </c>
      <c r="G9" s="11">
        <f>SQRT(5)</f>
        <v>2.2360679774997898</v>
      </c>
    </row>
    <row r="10" spans="1:26" ht="15.6" x14ac:dyDescent="0.35">
      <c r="A10" t="s">
        <v>44</v>
      </c>
      <c r="C10" t="s">
        <v>45</v>
      </c>
      <c r="E10" s="6">
        <v>-1</v>
      </c>
      <c r="F10" s="6"/>
      <c r="G10" s="11">
        <v>0</v>
      </c>
    </row>
    <row r="11" spans="1:26" ht="15.6" x14ac:dyDescent="0.35">
      <c r="A11" t="s">
        <v>44</v>
      </c>
      <c r="C11" t="s">
        <v>46</v>
      </c>
      <c r="E11" s="6"/>
      <c r="F11" s="6">
        <v>-1</v>
      </c>
      <c r="G11" s="11">
        <v>0</v>
      </c>
    </row>
    <row r="13" spans="1:26" x14ac:dyDescent="0.3">
      <c r="M13" s="10"/>
      <c r="R13" s="6">
        <v>1</v>
      </c>
      <c r="S13" s="6">
        <v>2</v>
      </c>
      <c r="T13" s="6">
        <v>3</v>
      </c>
      <c r="U13" s="6">
        <v>4</v>
      </c>
      <c r="V13" s="6">
        <v>5</v>
      </c>
    </row>
    <row r="14" spans="1:26" s="5" customFormat="1" x14ac:dyDescent="0.3">
      <c r="A14" s="92" t="s">
        <v>52</v>
      </c>
      <c r="B14" s="93" t="s">
        <v>57</v>
      </c>
      <c r="C14" s="93"/>
      <c r="D14" s="13" t="s">
        <v>54</v>
      </c>
      <c r="E14" s="94" t="s">
        <v>58</v>
      </c>
      <c r="F14" s="94"/>
      <c r="G14" s="22" t="s">
        <v>55</v>
      </c>
      <c r="H14" s="22"/>
      <c r="I14" s="95" t="s">
        <v>59</v>
      </c>
      <c r="J14" s="95"/>
      <c r="K14" s="95"/>
      <c r="L14" s="95"/>
      <c r="M14" s="96" t="s">
        <v>77</v>
      </c>
      <c r="N14" s="96"/>
      <c r="O14" s="96"/>
      <c r="P14" s="96"/>
      <c r="Q14" s="96"/>
      <c r="R14" s="97" t="s">
        <v>78</v>
      </c>
      <c r="S14" s="98"/>
      <c r="T14" s="98"/>
      <c r="U14" s="98"/>
      <c r="V14" s="99"/>
      <c r="W14" s="88" t="s">
        <v>79</v>
      </c>
      <c r="X14" s="89"/>
      <c r="Y14" s="89"/>
      <c r="Z14" s="90"/>
    </row>
    <row r="15" spans="1:26" s="5" customFormat="1" ht="24" x14ac:dyDescent="0.55000000000000004">
      <c r="A15" s="92"/>
      <c r="B15" s="17" t="s">
        <v>65</v>
      </c>
      <c r="C15" s="17" t="s">
        <v>66</v>
      </c>
      <c r="D15" s="12" t="s">
        <v>53</v>
      </c>
      <c r="E15" s="20" t="s">
        <v>67</v>
      </c>
      <c r="F15" s="20" t="s">
        <v>68</v>
      </c>
      <c r="G15" s="23" t="s">
        <v>69</v>
      </c>
      <c r="H15" s="23" t="s">
        <v>70</v>
      </c>
      <c r="I15" s="25" t="s">
        <v>51</v>
      </c>
      <c r="J15" s="25" t="s">
        <v>56</v>
      </c>
      <c r="K15" s="25" t="s">
        <v>71</v>
      </c>
      <c r="L15" s="25" t="s">
        <v>72</v>
      </c>
      <c r="M15" s="27" t="s">
        <v>41</v>
      </c>
      <c r="N15" s="27" t="s">
        <v>42</v>
      </c>
      <c r="O15" s="27" t="s">
        <v>43</v>
      </c>
      <c r="P15" s="28" t="s">
        <v>47</v>
      </c>
      <c r="Q15" s="27" t="s">
        <v>48</v>
      </c>
      <c r="R15" s="27" t="s">
        <v>41</v>
      </c>
      <c r="S15" s="27" t="s">
        <v>42</v>
      </c>
      <c r="T15" s="27" t="s">
        <v>43</v>
      </c>
      <c r="U15" s="28" t="s">
        <v>47</v>
      </c>
      <c r="V15" s="27" t="s">
        <v>48</v>
      </c>
      <c r="W15" s="15" t="s">
        <v>74</v>
      </c>
      <c r="X15" s="33" t="s">
        <v>75</v>
      </c>
      <c r="Y15" s="33" t="s">
        <v>76</v>
      </c>
      <c r="Z15" s="14" t="s">
        <v>64</v>
      </c>
    </row>
    <row r="16" spans="1:26" x14ac:dyDescent="0.3">
      <c r="A16" s="8">
        <v>1</v>
      </c>
      <c r="B16" s="18">
        <v>0</v>
      </c>
      <c r="C16" s="18">
        <v>0</v>
      </c>
      <c r="D16" s="8">
        <f>B16*(5-B16^2)+C16*(14-6*C16)</f>
        <v>0</v>
      </c>
      <c r="E16" s="21">
        <f>5-3*B16^2</f>
        <v>5</v>
      </c>
      <c r="F16" s="21">
        <f>14-12*C16</f>
        <v>14</v>
      </c>
      <c r="G16" s="24">
        <f>E16/SQRT($E16^2+$F16^2)</f>
        <v>0.33633639699815621</v>
      </c>
      <c r="H16" s="24">
        <f>F16/SQRT($E16^2+$F16^2)</f>
        <v>0.94174191159483744</v>
      </c>
      <c r="I16" s="26">
        <v>1.3765319752245242</v>
      </c>
      <c r="J16" s="26">
        <f>G16*(5-(G16*I16+B16)^2)-2*(G16*I16+B16)^2*G16+H16*(14-6*(H16*I16+C16))+(H16*I16+C16)*(-6*H16)</f>
        <v>9.3216979202281891E-7</v>
      </c>
      <c r="K16" s="26">
        <f>B16+G16*$I16</f>
        <v>0.46297780489977169</v>
      </c>
      <c r="L16" s="26">
        <f>C16+H16*$I16</f>
        <v>1.2963378537193608</v>
      </c>
      <c r="M16" s="30">
        <f>J$6-(J$7*$K16+J$8*$L16)</f>
        <v>12.351670780222785</v>
      </c>
      <c r="N16" s="30">
        <f t="shared" ref="N16:Q16" si="0">K$6-(K$7*$K16+K$8*$L16)</f>
        <v>20.629457463162648</v>
      </c>
      <c r="O16" s="29">
        <f>5-L16^2</f>
        <v>3.3195081690142811</v>
      </c>
      <c r="P16" s="30">
        <f t="shared" si="0"/>
        <v>0.46297780489977169</v>
      </c>
      <c r="Q16" s="30">
        <f t="shared" si="0"/>
        <v>1.2963378537193608</v>
      </c>
      <c r="R16" s="30" t="str">
        <f t="shared" ref="R16" si="1">IF(M16&lt;0,M16,"")</f>
        <v/>
      </c>
      <c r="S16" s="30" t="str">
        <f t="shared" ref="S16" si="2">IF(N16&lt;0,N16,"")</f>
        <v/>
      </c>
      <c r="T16" s="30" t="str">
        <f t="shared" ref="T16" si="3">IF(O16&lt;0,O16,"")</f>
        <v/>
      </c>
      <c r="U16" s="30" t="str">
        <f t="shared" ref="U16:V16" si="4">IF(P16&lt;0,P16,"")</f>
        <v/>
      </c>
      <c r="V16" s="30" t="str">
        <f t="shared" si="4"/>
        <v/>
      </c>
      <c r="W16" s="31">
        <f>IF(MIN(M16:Q16)&gt;=0,0,MATCH(MIN(R16:V16),R16:V16,0))</f>
        <v>0</v>
      </c>
      <c r="X16" s="32">
        <f t="shared" ref="X16:X21" si="5">IF($W16=0,K16,$Z16/$H16-(-$G16)/$H16*Y16)</f>
        <v>0.46297780489977169</v>
      </c>
      <c r="Y16" s="32">
        <f t="shared" ref="Y16:Y21" ca="1" si="6">IF($W16=0,L16,(OFFSET(I$6,0,$W16)-OFFSET(I$7,0,$W16)*$Z16/$H16)/(-OFFSET(I$7,0,$W16)*(-$G16)/$H16+OFFSET(I$8,0,$W16)))</f>
        <v>1.2963378537193608</v>
      </c>
      <c r="Z16" s="16">
        <f t="shared" ref="Z16:Z21" si="7">SUMPRODUCT(B16:C16,G16:H16)</f>
        <v>0</v>
      </c>
    </row>
    <row r="17" spans="1:27" x14ac:dyDescent="0.3">
      <c r="A17" s="8">
        <v>2</v>
      </c>
      <c r="B17" s="19">
        <f>X16</f>
        <v>0.46297780489977169</v>
      </c>
      <c r="C17" s="19">
        <f ca="1">Y16</f>
        <v>1.2963378537193608</v>
      </c>
      <c r="D17" s="8">
        <f ca="1">B17*(5-B17^2)+C17*(14-6*C17)</f>
        <v>10.281429416795678</v>
      </c>
      <c r="E17" s="21">
        <f>5-3*B17^2</f>
        <v>4.3569546565105668</v>
      </c>
      <c r="F17" s="21">
        <f ca="1">14-12*C17</f>
        <v>-1.55605424463233</v>
      </c>
      <c r="G17" s="24">
        <f ca="1">E17/SQRT($E17^2+$F17^2)</f>
        <v>0.94174197936174375</v>
      </c>
      <c r="H17" s="24">
        <f ca="1">F17/SQRT($E17^2+$F17^2)</f>
        <v>-0.33633620725075808</v>
      </c>
      <c r="I17" s="26">
        <v>0.79565238926820014</v>
      </c>
      <c r="J17" s="26">
        <f ca="1">G17*(5-(G17*I17+B17)^2)-2*(G17*I17+B17)^2*G17+H17*(14-6*(H17*I17+C17))+(H17*I17+C17)*(-6*H17)</f>
        <v>1.0654201108017958E-6</v>
      </c>
      <c r="K17" s="26">
        <f ca="1">B17+G17*$I17</f>
        <v>1.2122770608531073</v>
      </c>
      <c r="L17" s="26">
        <f ca="1">C17+H17*$I17</f>
        <v>1.0287311468228906</v>
      </c>
      <c r="M17" s="30">
        <f t="shared" ref="M17:M21" ca="1" si="8">J$6-(J$7*$K17+J$8*$L17)</f>
        <v>12.672798351855331</v>
      </c>
      <c r="N17" s="30">
        <f t="shared" ref="N17:N21" ca="1" si="9">K$6-(K$7*$K17+K$8*$L17)</f>
        <v>16.668875341235577</v>
      </c>
      <c r="O17" s="29">
        <f t="shared" ref="O17:O21" ca="1" si="10">5-L17^2</f>
        <v>3.9417122275564607</v>
      </c>
      <c r="P17" s="30">
        <f t="shared" ref="P17:P21" ca="1" si="11">M$6-(M$7*$K17+M$8*$L17)</f>
        <v>1.2122770608531073</v>
      </c>
      <c r="Q17" s="30">
        <f t="shared" ref="Q17:Q21" ca="1" si="12">N$6-(N$7*$K17+N$8*$L17)</f>
        <v>1.0287311468228906</v>
      </c>
      <c r="R17" s="30" t="str">
        <f t="shared" ref="R17:R21" ca="1" si="13">IF(M17&lt;0,M17,"")</f>
        <v/>
      </c>
      <c r="S17" s="30" t="str">
        <f t="shared" ref="S17:S21" ca="1" si="14">IF(N17&lt;0,N17,"")</f>
        <v/>
      </c>
      <c r="T17" s="30" t="str">
        <f t="shared" ref="T17:T21" ca="1" si="15">IF(O17&lt;0,O17,"")</f>
        <v/>
      </c>
      <c r="U17" s="30" t="str">
        <f t="shared" ref="U17:U21" ca="1" si="16">IF(P17&lt;0,P17,"")</f>
        <v/>
      </c>
      <c r="V17" s="30" t="str">
        <f t="shared" ref="V17:V21" ca="1" si="17">IF(Q17&lt;0,Q17,"")</f>
        <v/>
      </c>
      <c r="W17" s="31">
        <f t="shared" ref="W17:W21" ca="1" si="18">IF(MIN(M17:Q17)&gt;=0,0,MATCH(MIN(R17:V17),R17:V17,0))</f>
        <v>0</v>
      </c>
      <c r="X17" s="32">
        <f t="shared" ca="1" si="5"/>
        <v>1.2122770608531073</v>
      </c>
      <c r="Y17" s="32">
        <f t="shared" ca="1" si="6"/>
        <v>1.0287311468228906</v>
      </c>
      <c r="Z17" s="16">
        <f t="shared" ca="1" si="7"/>
        <v>2.7735130836425981E-7</v>
      </c>
    </row>
    <row r="18" spans="1:27" x14ac:dyDescent="0.3">
      <c r="A18" s="8">
        <v>3</v>
      </c>
      <c r="B18" s="19">
        <f t="shared" ref="B18:B19" ca="1" si="19">X17</f>
        <v>1.2122770608531073</v>
      </c>
      <c r="C18" s="19">
        <f t="shared" ref="C18:C19" ca="1" si="20">Y17</f>
        <v>1.0287311468228906</v>
      </c>
      <c r="D18" s="8">
        <f t="shared" ref="D18:D21" ca="1" si="21">B18*(5-B18^2)+C18*(14-6*C18)</f>
        <v>12.332313357360841</v>
      </c>
      <c r="E18" s="21">
        <f t="shared" ref="E18:E21" ca="1" si="22">5-3*B18^2</f>
        <v>0.59115298318805465</v>
      </c>
      <c r="F18" s="21">
        <f t="shared" ref="F18:F21" ca="1" si="23">14-12*C18</f>
        <v>1.6552262381253122</v>
      </c>
      <c r="G18" s="24">
        <f t="shared" ref="G18:H21" ca="1" si="24">E18/SQRT($E18^2+$F18^2)</f>
        <v>0.33633677810764823</v>
      </c>
      <c r="H18" s="24">
        <f t="shared" ca="1" si="24"/>
        <v>0.94174177548421767</v>
      </c>
      <c r="I18" s="26">
        <v>0.15306550181779094</v>
      </c>
      <c r="J18" s="26">
        <f t="shared" ref="J18:J21" ca="1" si="25">G18*(5-(G18*I18+B18)^2)-2*(G18*I18+B18)^2*G18+H18*(14-6*(H18*I18+C18))+(H18*I18+C18)*(-6*H18)</f>
        <v>-8.6332060700300417E-7</v>
      </c>
      <c r="K18" s="26">
        <f t="shared" ref="K18:L21" ca="1" si="26">B18+G18*$I18</f>
        <v>1.2637586185739333</v>
      </c>
      <c r="L18" s="26">
        <f t="shared" ca="1" si="26"/>
        <v>1.1728793242701598</v>
      </c>
      <c r="M18" s="30">
        <f t="shared" ca="1" si="8"/>
        <v>12.044724084345427</v>
      </c>
      <c r="N18" s="30">
        <f t="shared" ca="1" si="9"/>
        <v>16.071689640016082</v>
      </c>
      <c r="O18" s="29">
        <f t="shared" ca="1" si="10"/>
        <v>3.6243540906995735</v>
      </c>
      <c r="P18" s="30">
        <f t="shared" ca="1" si="11"/>
        <v>1.2637586185739333</v>
      </c>
      <c r="Q18" s="30">
        <f t="shared" ca="1" si="12"/>
        <v>1.1728793242701598</v>
      </c>
      <c r="R18" s="30" t="str">
        <f t="shared" ca="1" si="13"/>
        <v/>
      </c>
      <c r="S18" s="30" t="str">
        <f t="shared" ca="1" si="14"/>
        <v/>
      </c>
      <c r="T18" s="30" t="str">
        <f t="shared" ca="1" si="15"/>
        <v/>
      </c>
      <c r="U18" s="30" t="str">
        <f t="shared" ca="1" si="16"/>
        <v/>
      </c>
      <c r="V18" s="30" t="str">
        <f t="shared" ca="1" si="17"/>
        <v/>
      </c>
      <c r="W18" s="31">
        <f t="shared" ca="1" si="18"/>
        <v>0</v>
      </c>
      <c r="X18" s="32">
        <f t="shared" ca="1" si="5"/>
        <v>1.2637586185739333</v>
      </c>
      <c r="Y18" s="32">
        <f t="shared" ca="1" si="6"/>
        <v>1.1728793242701598</v>
      </c>
      <c r="Z18" s="16">
        <f t="shared" ca="1" si="7"/>
        <v>1.3765324575260478</v>
      </c>
    </row>
    <row r="19" spans="1:27" x14ac:dyDescent="0.3">
      <c r="A19" s="8">
        <v>4</v>
      </c>
      <c r="B19" s="19">
        <f t="shared" ca="1" si="19"/>
        <v>1.2637586185739333</v>
      </c>
      <c r="C19" s="19">
        <f t="shared" ca="1" si="20"/>
        <v>1.1728793242701598</v>
      </c>
      <c r="D19" s="8">
        <f t="shared" ca="1" si="21"/>
        <v>12.466897174339259</v>
      </c>
      <c r="E19" s="21">
        <f t="shared" ca="1" si="22"/>
        <v>0.20874246194031087</v>
      </c>
      <c r="F19" s="21">
        <f t="shared" ca="1" si="23"/>
        <v>-7.455189124191719E-2</v>
      </c>
      <c r="G19" s="24">
        <f t="shared" ca="1" si="24"/>
        <v>0.94174046549034063</v>
      </c>
      <c r="H19" s="24">
        <f t="shared" ca="1" si="24"/>
        <v>-0.33634044606326535</v>
      </c>
      <c r="I19" s="26">
        <v>2.7195614786420987E-2</v>
      </c>
      <c r="J19" s="26">
        <f t="shared" ca="1" si="25"/>
        <v>4.4060968962256197E-7</v>
      </c>
      <c r="K19" s="26">
        <f t="shared" ca="1" si="26"/>
        <v>1.2893698295021934</v>
      </c>
      <c r="L19" s="26">
        <f t="shared" ca="1" si="26"/>
        <v>1.1637323390619303</v>
      </c>
      <c r="M19" s="30">
        <f t="shared" ca="1" si="8"/>
        <v>12.055700814250086</v>
      </c>
      <c r="N19" s="30">
        <f t="shared" ca="1" si="9"/>
        <v>15.936316344862979</v>
      </c>
      <c r="O19" s="29">
        <f t="shared" ca="1" si="10"/>
        <v>3.6457270430214486</v>
      </c>
      <c r="P19" s="30">
        <f t="shared" ca="1" si="11"/>
        <v>1.2893698295021934</v>
      </c>
      <c r="Q19" s="30">
        <f t="shared" ca="1" si="12"/>
        <v>1.1637323390619303</v>
      </c>
      <c r="R19" s="30" t="str">
        <f t="shared" ca="1" si="13"/>
        <v/>
      </c>
      <c r="S19" s="30" t="str">
        <f t="shared" ca="1" si="14"/>
        <v/>
      </c>
      <c r="T19" s="30" t="str">
        <f t="shared" ca="1" si="15"/>
        <v/>
      </c>
      <c r="U19" s="30" t="str">
        <f t="shared" ca="1" si="16"/>
        <v/>
      </c>
      <c r="V19" s="30" t="str">
        <f t="shared" ca="1" si="17"/>
        <v/>
      </c>
      <c r="W19" s="31">
        <f t="shared" ca="1" si="18"/>
        <v>0</v>
      </c>
      <c r="X19" s="32">
        <f t="shared" ca="1" si="5"/>
        <v>1.2893698295021934</v>
      </c>
      <c r="Y19" s="32">
        <f t="shared" ca="1" si="6"/>
        <v>1.1637323390619303</v>
      </c>
      <c r="Z19" s="16">
        <f t="shared" ca="1" si="7"/>
        <v>0.79564587461983893</v>
      </c>
    </row>
    <row r="20" spans="1:27" x14ac:dyDescent="0.3">
      <c r="A20" s="8">
        <v>5</v>
      </c>
      <c r="B20" s="19">
        <f t="shared" ref="B20:B21" ca="1" si="27">X19</f>
        <v>1.2893698295021934</v>
      </c>
      <c r="C20" s="19">
        <f t="shared" ref="C20:C21" ca="1" si="28">Y19</f>
        <v>1.1637323390619303</v>
      </c>
      <c r="D20" s="8">
        <f t="shared" ca="1" si="21"/>
        <v>12.469919616098636</v>
      </c>
      <c r="E20" s="21">
        <f t="shared" ca="1" si="22"/>
        <v>1.2576328308454343E-2</v>
      </c>
      <c r="F20" s="21">
        <f t="shared" ca="1" si="23"/>
        <v>3.5211931256835527E-2</v>
      </c>
      <c r="G20" s="24">
        <f t="shared" ca="1" si="24"/>
        <v>0.33635154353176472</v>
      </c>
      <c r="H20" s="24">
        <f t="shared" ca="1" si="24"/>
        <v>0.94173650198120684</v>
      </c>
      <c r="I20" s="26">
        <v>3.2462556655692421E-3</v>
      </c>
      <c r="J20" s="26">
        <f t="shared" ca="1" si="25"/>
        <v>5.9000097252237538E-8</v>
      </c>
      <c r="K20" s="26">
        <f t="shared" ca="1" si="26"/>
        <v>1.2904617126060063</v>
      </c>
      <c r="L20" s="26">
        <f t="shared" ca="1" si="26"/>
        <v>1.1667894565169601</v>
      </c>
      <c r="M20" s="30">
        <f t="shared" ca="1" si="8"/>
        <v>12.042380461326154</v>
      </c>
      <c r="N20" s="30">
        <f t="shared" ca="1" si="9"/>
        <v>15.923650811330042</v>
      </c>
      <c r="O20" s="29">
        <f t="shared" ca="1" si="10"/>
        <v>3.6386023641608567</v>
      </c>
      <c r="P20" s="30">
        <f t="shared" ca="1" si="11"/>
        <v>1.2904617126060063</v>
      </c>
      <c r="Q20" s="30">
        <f t="shared" ca="1" si="12"/>
        <v>1.1667894565169601</v>
      </c>
      <c r="R20" s="30" t="str">
        <f t="shared" ca="1" si="13"/>
        <v/>
      </c>
      <c r="S20" s="30" t="str">
        <f t="shared" ca="1" si="14"/>
        <v/>
      </c>
      <c r="T20" s="30" t="str">
        <f t="shared" ca="1" si="15"/>
        <v/>
      </c>
      <c r="U20" s="30" t="str">
        <f t="shared" ca="1" si="16"/>
        <v/>
      </c>
      <c r="V20" s="30" t="str">
        <f t="shared" ca="1" si="17"/>
        <v/>
      </c>
      <c r="W20" s="31">
        <f t="shared" ca="1" si="18"/>
        <v>0</v>
      </c>
      <c r="X20" s="32">
        <f t="shared" ca="1" si="5"/>
        <v>1.2904617126060063</v>
      </c>
      <c r="Y20" s="32">
        <f t="shared" ca="1" si="6"/>
        <v>1.1667894565169601</v>
      </c>
      <c r="Z20" s="16">
        <f t="shared" ca="1" si="7"/>
        <v>1.5296107545669411</v>
      </c>
    </row>
    <row r="21" spans="1:27" x14ac:dyDescent="0.3">
      <c r="A21" s="8">
        <v>6</v>
      </c>
      <c r="B21" s="19">
        <f t="shared" ca="1" si="27"/>
        <v>1.2904617126060063</v>
      </c>
      <c r="C21" s="19">
        <f t="shared" ca="1" si="28"/>
        <v>1.1667894565169601</v>
      </c>
      <c r="D21" s="8">
        <f t="shared" ca="1" si="21"/>
        <v>12.469980306290307</v>
      </c>
      <c r="E21" s="21">
        <f t="shared" ca="1" si="22"/>
        <v>4.1257048939202789E-3</v>
      </c>
      <c r="F21" s="21">
        <f t="shared" ca="1" si="23"/>
        <v>-1.4734782035219496E-3</v>
      </c>
      <c r="G21" s="24">
        <f t="shared" ca="1" si="24"/>
        <v>0.94174103170050916</v>
      </c>
      <c r="H21" s="24">
        <f t="shared" ca="1" si="24"/>
        <v>-0.33633886069210139</v>
      </c>
      <c r="I21" s="26">
        <v>5.3252347123255994E-4</v>
      </c>
      <c r="J21" s="26">
        <f t="shared" ca="1" si="25"/>
        <v>5.5593477021886883E-7</v>
      </c>
      <c r="K21" s="26">
        <f t="shared" ca="1" si="26"/>
        <v>1.2909632118092096</v>
      </c>
      <c r="L21" s="26">
        <f t="shared" ca="1" si="26"/>
        <v>1.1666103481793539</v>
      </c>
      <c r="M21" s="30">
        <f t="shared" ca="1" si="8"/>
        <v>12.042595395473374</v>
      </c>
      <c r="N21" s="30">
        <f t="shared" ca="1" si="9"/>
        <v>15.921000032786035</v>
      </c>
      <c r="O21" s="29">
        <f t="shared" ca="1" si="10"/>
        <v>3.6390202955208464</v>
      </c>
      <c r="P21" s="30">
        <f t="shared" ca="1" si="11"/>
        <v>1.2909632118092096</v>
      </c>
      <c r="Q21" s="30">
        <f t="shared" ca="1" si="12"/>
        <v>1.1666103481793539</v>
      </c>
      <c r="R21" s="30" t="str">
        <f t="shared" ca="1" si="13"/>
        <v/>
      </c>
      <c r="S21" s="30" t="str">
        <f t="shared" ca="1" si="14"/>
        <v/>
      </c>
      <c r="T21" s="30" t="str">
        <f t="shared" ca="1" si="15"/>
        <v/>
      </c>
      <c r="U21" s="30" t="str">
        <f t="shared" ca="1" si="16"/>
        <v/>
      </c>
      <c r="V21" s="30" t="str">
        <f t="shared" ca="1" si="17"/>
        <v/>
      </c>
      <c r="W21" s="31">
        <f t="shared" ca="1" si="18"/>
        <v>0</v>
      </c>
      <c r="X21" s="32">
        <f t="shared" ca="1" si="5"/>
        <v>1.2909632118092096</v>
      </c>
      <c r="Y21" s="32">
        <f t="shared" ca="1" si="6"/>
        <v>1.1666103481793539</v>
      </c>
      <c r="Z21" s="16">
        <f t="shared" ca="1" si="7"/>
        <v>0.82284410812711584</v>
      </c>
    </row>
    <row r="22" spans="1:27" x14ac:dyDescent="0.3">
      <c r="A22" s="6"/>
      <c r="B22" s="11"/>
      <c r="C22" s="11"/>
      <c r="D22" s="6"/>
      <c r="E22" s="6"/>
      <c r="F22" s="6"/>
      <c r="G22" s="11"/>
      <c r="H22" s="11"/>
      <c r="I22" s="11"/>
      <c r="J22" s="11"/>
      <c r="K22" s="11"/>
      <c r="L22" s="1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7" x14ac:dyDescent="0.3">
      <c r="A23" s="5" t="s">
        <v>60</v>
      </c>
      <c r="B23" s="6"/>
      <c r="C23" s="11"/>
      <c r="D23" s="11"/>
      <c r="E23" s="6"/>
      <c r="F23" s="6"/>
      <c r="G23" s="6"/>
      <c r="H23" s="11"/>
      <c r="I23" s="26">
        <v>1.3765320949596291</v>
      </c>
      <c r="J23" s="11"/>
      <c r="K23" s="11"/>
      <c r="L23" s="11"/>
      <c r="M23" s="11"/>
      <c r="AA23" s="7"/>
    </row>
    <row r="24" spans="1:27" x14ac:dyDescent="0.3">
      <c r="A24" s="5" t="s">
        <v>57</v>
      </c>
      <c r="B24" s="6"/>
      <c r="C24" s="11"/>
      <c r="D24" s="11"/>
      <c r="E24" s="6"/>
      <c r="F24" s="6"/>
      <c r="G24" s="6"/>
      <c r="H24" s="11"/>
      <c r="I24" s="11"/>
      <c r="J24" s="11"/>
      <c r="K24" s="11"/>
      <c r="L24" s="11"/>
      <c r="M24" s="11"/>
      <c r="AA24" s="7"/>
    </row>
    <row r="25" spans="1:27" x14ac:dyDescent="0.3">
      <c r="A25" t="s">
        <v>87</v>
      </c>
      <c r="B25" s="6"/>
      <c r="C25" s="11"/>
      <c r="D25" s="11"/>
      <c r="E25" s="6"/>
      <c r="F25" s="6"/>
      <c r="G25" s="6"/>
      <c r="H25" s="11"/>
      <c r="I25" s="11"/>
      <c r="J25" s="11"/>
      <c r="K25" s="11"/>
      <c r="L25" s="11"/>
      <c r="M25" s="11"/>
      <c r="AA25" s="7"/>
    </row>
    <row r="26" spans="1:27" x14ac:dyDescent="0.3">
      <c r="B26" s="6"/>
      <c r="C26" s="11"/>
      <c r="D26" s="11"/>
      <c r="E26" s="6"/>
      <c r="F26" s="6"/>
      <c r="G26" s="6"/>
      <c r="H26" s="11"/>
      <c r="I26" s="11"/>
      <c r="J26" s="11"/>
      <c r="K26" s="11"/>
      <c r="L26" s="11"/>
      <c r="M26" s="11"/>
      <c r="AA26" s="7"/>
    </row>
    <row r="27" spans="1:27" x14ac:dyDescent="0.3">
      <c r="A27" s="5" t="s">
        <v>88</v>
      </c>
      <c r="B27" s="6"/>
      <c r="C27" s="11"/>
      <c r="D27" s="11"/>
      <c r="E27" s="6"/>
      <c r="F27" s="6"/>
      <c r="G27" s="6"/>
      <c r="H27" s="11"/>
      <c r="I27" s="11"/>
      <c r="J27" s="11"/>
      <c r="K27" s="11"/>
      <c r="L27" s="11"/>
      <c r="M27" s="11"/>
      <c r="AA27" s="7"/>
    </row>
    <row r="28" spans="1:27" ht="16.8" x14ac:dyDescent="0.35">
      <c r="A28" t="s">
        <v>61</v>
      </c>
      <c r="M28" s="10"/>
      <c r="AA28" s="7"/>
    </row>
    <row r="29" spans="1:27" ht="15.6" x14ac:dyDescent="0.35">
      <c r="A29" t="s">
        <v>62</v>
      </c>
      <c r="AA29" s="7"/>
    </row>
    <row r="30" spans="1:27" x14ac:dyDescent="0.3">
      <c r="A30" t="s">
        <v>94</v>
      </c>
      <c r="AA30" s="7"/>
    </row>
    <row r="31" spans="1:27" ht="24.6" x14ac:dyDescent="0.55000000000000004">
      <c r="A31" s="40" t="s">
        <v>95</v>
      </c>
      <c r="AA31" s="7"/>
    </row>
    <row r="32" spans="1:27" ht="24.6" x14ac:dyDescent="0.55000000000000004">
      <c r="A32" s="40" t="s">
        <v>96</v>
      </c>
      <c r="AA32" s="7"/>
    </row>
    <row r="33" spans="1:27" x14ac:dyDescent="0.3">
      <c r="AA33" s="7"/>
    </row>
    <row r="34" spans="1:27" x14ac:dyDescent="0.3">
      <c r="A34" s="5" t="s">
        <v>89</v>
      </c>
      <c r="AA34" s="7"/>
    </row>
    <row r="35" spans="1:27" ht="24" x14ac:dyDescent="0.55000000000000004">
      <c r="A35" t="s">
        <v>97</v>
      </c>
      <c r="AA35" s="7"/>
    </row>
    <row r="36" spans="1:27" ht="16.8" x14ac:dyDescent="0.35">
      <c r="A36" t="s">
        <v>50</v>
      </c>
      <c r="AA36" s="7"/>
    </row>
    <row r="37" spans="1:27" x14ac:dyDescent="0.3">
      <c r="A37" t="s">
        <v>80</v>
      </c>
      <c r="AA37" s="7"/>
    </row>
    <row r="38" spans="1:27" x14ac:dyDescent="0.3">
      <c r="A38" t="s">
        <v>90</v>
      </c>
      <c r="AA38" s="7"/>
    </row>
    <row r="39" spans="1:27" ht="15.6" x14ac:dyDescent="0.35">
      <c r="A39" t="s">
        <v>81</v>
      </c>
      <c r="AA39" s="7"/>
    </row>
    <row r="40" spans="1:27" ht="24" x14ac:dyDescent="0.55000000000000004">
      <c r="A40" t="s">
        <v>83</v>
      </c>
      <c r="AA40" s="7"/>
    </row>
    <row r="41" spans="1:27" x14ac:dyDescent="0.3">
      <c r="AA41" s="7"/>
    </row>
    <row r="42" spans="1:27" x14ac:dyDescent="0.3">
      <c r="A42" s="5" t="s">
        <v>82</v>
      </c>
      <c r="AA42" s="7"/>
    </row>
    <row r="43" spans="1:27" ht="15.6" x14ac:dyDescent="0.35">
      <c r="A43" s="34" t="s">
        <v>84</v>
      </c>
      <c r="AA43" s="7"/>
    </row>
    <row r="44" spans="1:27" x14ac:dyDescent="0.3">
      <c r="A44" s="34"/>
      <c r="AA44" s="7"/>
    </row>
    <row r="45" spans="1:27" x14ac:dyDescent="0.3">
      <c r="A45" s="35" t="s">
        <v>91</v>
      </c>
      <c r="AA45" s="7"/>
    </row>
    <row r="46" spans="1:27" ht="15.6" x14ac:dyDescent="0.35">
      <c r="A46" t="s">
        <v>85</v>
      </c>
      <c r="AA46" s="7"/>
    </row>
    <row r="47" spans="1:27" ht="45" customHeight="1" x14ac:dyDescent="0.3">
      <c r="A47" s="91" t="s">
        <v>86</v>
      </c>
      <c r="B47" s="91"/>
      <c r="C47" s="91"/>
      <c r="D47" s="91"/>
      <c r="E47" s="91"/>
      <c r="F47" s="91"/>
      <c r="G47" s="91"/>
      <c r="H47" s="91"/>
      <c r="AA47" s="7"/>
    </row>
    <row r="48" spans="1:27" x14ac:dyDescent="0.3">
      <c r="AA48" s="7"/>
    </row>
    <row r="49" spans="1:27" x14ac:dyDescent="0.3">
      <c r="AA49" s="7"/>
    </row>
    <row r="50" spans="1:27" x14ac:dyDescent="0.3">
      <c r="A50" s="5" t="s">
        <v>73</v>
      </c>
      <c r="AA50" s="7"/>
    </row>
    <row r="51" spans="1:27" ht="15.6" x14ac:dyDescent="0.35">
      <c r="B51" s="6" t="s">
        <v>35</v>
      </c>
      <c r="C51" s="6" t="s">
        <v>36</v>
      </c>
      <c r="AA51" s="7"/>
    </row>
    <row r="52" spans="1:27" x14ac:dyDescent="0.3">
      <c r="A52" t="s">
        <v>37</v>
      </c>
      <c r="B52" s="6">
        <v>0</v>
      </c>
      <c r="C52" s="6">
        <f>G7/F7</f>
        <v>4.5</v>
      </c>
    </row>
    <row r="53" spans="1:27" x14ac:dyDescent="0.3">
      <c r="B53" s="6">
        <f>G7/E7</f>
        <v>18</v>
      </c>
      <c r="C53" s="6">
        <v>0</v>
      </c>
    </row>
    <row r="54" spans="1:27" x14ac:dyDescent="0.3">
      <c r="A54" t="s">
        <v>38</v>
      </c>
      <c r="B54" s="6">
        <f>G8/E8</f>
        <v>4.333333333333333</v>
      </c>
      <c r="C54" s="6">
        <v>0</v>
      </c>
    </row>
    <row r="55" spans="1:27" x14ac:dyDescent="0.3">
      <c r="B55" s="6">
        <v>0</v>
      </c>
      <c r="C55" s="6">
        <f>G8/F8</f>
        <v>13</v>
      </c>
    </row>
    <row r="56" spans="1:27" x14ac:dyDescent="0.3">
      <c r="A56" t="s">
        <v>39</v>
      </c>
      <c r="B56" s="6">
        <v>0</v>
      </c>
      <c r="C56" s="11">
        <f>G9</f>
        <v>2.2360679774997898</v>
      </c>
    </row>
    <row r="57" spans="1:27" x14ac:dyDescent="0.3">
      <c r="B57" s="6">
        <v>18</v>
      </c>
      <c r="C57" s="11">
        <f>G9</f>
        <v>2.2360679774997898</v>
      </c>
    </row>
  </sheetData>
  <mergeCells count="8">
    <mergeCell ref="W14:Z14"/>
    <mergeCell ref="A47:H47"/>
    <mergeCell ref="A14:A15"/>
    <mergeCell ref="B14:C14"/>
    <mergeCell ref="E14:F14"/>
    <mergeCell ref="I14:L14"/>
    <mergeCell ref="M14:Q14"/>
    <mergeCell ref="R14:V14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zoomScale="90" zoomScaleNormal="140" workbookViewId="0">
      <selection activeCell="A12" sqref="A12"/>
    </sheetView>
  </sheetViews>
  <sheetFormatPr defaultRowHeight="14.4" x14ac:dyDescent="0.3"/>
  <cols>
    <col min="1" max="1" width="22.44140625" customWidth="1"/>
  </cols>
  <sheetData>
    <row r="1" spans="1:9" x14ac:dyDescent="0.3">
      <c r="A1" t="s">
        <v>16</v>
      </c>
    </row>
    <row r="2" spans="1:9" x14ac:dyDescent="0.3">
      <c r="A2" s="5" t="s">
        <v>98</v>
      </c>
    </row>
    <row r="4" spans="1:9" x14ac:dyDescent="0.3">
      <c r="A4" t="s">
        <v>18</v>
      </c>
    </row>
    <row r="5" spans="1:9" ht="16.8" x14ac:dyDescent="0.35">
      <c r="A5" t="s">
        <v>20</v>
      </c>
    </row>
    <row r="6" spans="1:9" x14ac:dyDescent="0.3">
      <c r="A6" t="s">
        <v>19</v>
      </c>
    </row>
    <row r="7" spans="1:9" ht="15.6" x14ac:dyDescent="0.35">
      <c r="B7" t="s">
        <v>21</v>
      </c>
    </row>
    <row r="8" spans="1:9" ht="15.6" x14ac:dyDescent="0.35">
      <c r="B8" t="s">
        <v>22</v>
      </c>
    </row>
    <row r="9" spans="1:9" ht="16.8" x14ac:dyDescent="0.35">
      <c r="B9" t="s">
        <v>23</v>
      </c>
    </row>
    <row r="11" spans="1:9" ht="15.6" x14ac:dyDescent="0.35">
      <c r="A11" t="s">
        <v>99</v>
      </c>
    </row>
    <row r="12" spans="1:9" x14ac:dyDescent="0.3">
      <c r="B12" s="6"/>
      <c r="C12" s="6"/>
      <c r="D12" s="6"/>
      <c r="E12" s="6"/>
      <c r="F12" s="6"/>
      <c r="G12" s="6"/>
      <c r="H12" s="6"/>
      <c r="I12" s="6"/>
    </row>
    <row r="13" spans="1:9" ht="16.2" thickBot="1" x14ac:dyDescent="0.35">
      <c r="A13" s="51"/>
      <c r="B13" s="104" t="s">
        <v>1</v>
      </c>
      <c r="C13" s="105"/>
      <c r="D13" s="100" t="s">
        <v>2</v>
      </c>
      <c r="E13" s="101"/>
      <c r="F13" s="102"/>
    </row>
    <row r="14" spans="1:9" ht="16.2" thickBot="1" x14ac:dyDescent="0.35">
      <c r="A14" s="52" t="s">
        <v>0</v>
      </c>
      <c r="B14" s="48" t="s">
        <v>11</v>
      </c>
      <c r="C14" s="48" t="s">
        <v>12</v>
      </c>
      <c r="D14" s="82"/>
      <c r="E14" s="83"/>
      <c r="F14" s="103"/>
    </row>
    <row r="15" spans="1:9" ht="31.2" x14ac:dyDescent="0.3">
      <c r="A15" s="53" t="s">
        <v>13</v>
      </c>
      <c r="B15" s="2"/>
      <c r="C15" s="2"/>
      <c r="D15" s="3" t="s">
        <v>26</v>
      </c>
      <c r="E15" s="3" t="s">
        <v>27</v>
      </c>
      <c r="F15" s="54" t="s">
        <v>28</v>
      </c>
    </row>
    <row r="16" spans="1:9" ht="15.6" x14ac:dyDescent="0.3">
      <c r="A16" s="55" t="s">
        <v>29</v>
      </c>
      <c r="B16" s="42">
        <v>1</v>
      </c>
      <c r="C16" s="42">
        <v>4</v>
      </c>
      <c r="D16" s="43">
        <f>SUMPRODUCT(B16:C16,$B$20:$C$20)</f>
        <v>5.9576626001987272</v>
      </c>
      <c r="E16" s="44" t="s">
        <v>14</v>
      </c>
      <c r="F16" s="56">
        <v>18</v>
      </c>
    </row>
    <row r="17" spans="1:11" ht="15.6" x14ac:dyDescent="0.3">
      <c r="A17" s="57" t="s">
        <v>30</v>
      </c>
      <c r="B17" s="49">
        <v>6</v>
      </c>
      <c r="C17" s="49">
        <v>2</v>
      </c>
      <c r="D17" s="50">
        <f>SUMPRODUCT(B17:C17,$B$20:$C$20)</f>
        <v>10.079300438356769</v>
      </c>
      <c r="E17" s="58" t="s">
        <v>14</v>
      </c>
      <c r="F17" s="59">
        <v>26</v>
      </c>
    </row>
    <row r="18" spans="1:11" ht="15.6" x14ac:dyDescent="0.3">
      <c r="A18" s="60" t="s">
        <v>31</v>
      </c>
      <c r="B18" s="61"/>
      <c r="C18" s="61"/>
      <c r="D18" s="62">
        <f>C20^2</f>
        <v>1.3611120122200859</v>
      </c>
      <c r="E18" s="63" t="s">
        <v>14</v>
      </c>
      <c r="F18" s="64">
        <v>5</v>
      </c>
    </row>
    <row r="20" spans="1:11" x14ac:dyDescent="0.3">
      <c r="A20" s="13" t="s">
        <v>24</v>
      </c>
      <c r="B20" s="36">
        <v>1.2909943887740738</v>
      </c>
      <c r="C20" s="36">
        <v>1.1666670528561633</v>
      </c>
    </row>
    <row r="21" spans="1:11" x14ac:dyDescent="0.3">
      <c r="A21" s="13" t="s">
        <v>25</v>
      </c>
      <c r="B21" s="37">
        <f>B20*(5-B20^2)+C20*(14-6*C20)</f>
        <v>12.46998149578511</v>
      </c>
      <c r="C21" s="6"/>
      <c r="D21" s="6"/>
      <c r="E21" s="6"/>
      <c r="F21" s="6"/>
      <c r="G21" s="6"/>
      <c r="H21" s="6"/>
      <c r="I21" s="6"/>
      <c r="J21" s="6"/>
      <c r="K21" s="6"/>
    </row>
  </sheetData>
  <mergeCells count="2">
    <mergeCell ref="D13:F14"/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zoomScale="66" zoomScaleNormal="140" workbookViewId="0">
      <selection activeCell="E25" sqref="E25"/>
    </sheetView>
  </sheetViews>
  <sheetFormatPr defaultRowHeight="14.4" x14ac:dyDescent="0.3"/>
  <cols>
    <col min="1" max="1" width="11.77734375" customWidth="1"/>
    <col min="2" max="3" width="8.44140625" customWidth="1"/>
    <col min="5" max="6" width="9.21875" customWidth="1"/>
    <col min="7" max="7" width="8.44140625" customWidth="1"/>
    <col min="8" max="8" width="10.21875" customWidth="1"/>
    <col min="11" max="11" width="9" customWidth="1"/>
    <col min="12" max="12" width="9.77734375" customWidth="1"/>
    <col min="13" max="13" width="9.21875" customWidth="1"/>
    <col min="14" max="14" width="8.21875" customWidth="1"/>
    <col min="15" max="15" width="12" customWidth="1"/>
    <col min="16" max="22" width="8.21875" customWidth="1"/>
    <col min="23" max="23" width="6.77734375" customWidth="1"/>
    <col min="24" max="24" width="8" customWidth="1"/>
    <col min="25" max="25" width="8.21875" customWidth="1"/>
  </cols>
  <sheetData>
    <row r="1" spans="1:26" x14ac:dyDescent="0.3">
      <c r="A1" t="s">
        <v>16</v>
      </c>
    </row>
    <row r="2" spans="1:26" x14ac:dyDescent="0.3">
      <c r="A2" s="5" t="s">
        <v>93</v>
      </c>
    </row>
    <row r="4" spans="1:26" x14ac:dyDescent="0.3">
      <c r="A4" t="s">
        <v>18</v>
      </c>
      <c r="E4">
        <v>8</v>
      </c>
    </row>
    <row r="5" spans="1:26" ht="16.8" x14ac:dyDescent="0.35">
      <c r="A5" t="s">
        <v>92</v>
      </c>
      <c r="I5" t="s">
        <v>63</v>
      </c>
    </row>
    <row r="6" spans="1:26" ht="15.6" x14ac:dyDescent="0.35">
      <c r="A6" t="s">
        <v>19</v>
      </c>
      <c r="E6" s="6" t="s">
        <v>35</v>
      </c>
      <c r="F6" s="6" t="s">
        <v>36</v>
      </c>
      <c r="G6" s="6" t="s">
        <v>40</v>
      </c>
      <c r="I6" s="6" t="s">
        <v>40</v>
      </c>
      <c r="J6" s="6">
        <v>18</v>
      </c>
      <c r="K6" s="6">
        <v>26</v>
      </c>
      <c r="L6" s="11">
        <f>SQRT(5)</f>
        <v>2.2360679774997898</v>
      </c>
      <c r="M6" s="11">
        <v>0</v>
      </c>
      <c r="N6" s="11">
        <v>0</v>
      </c>
    </row>
    <row r="7" spans="1:26" ht="15.6" x14ac:dyDescent="0.35">
      <c r="A7" t="s">
        <v>37</v>
      </c>
      <c r="C7" t="s">
        <v>21</v>
      </c>
      <c r="E7" s="6">
        <v>1</v>
      </c>
      <c r="F7" s="6">
        <v>4</v>
      </c>
      <c r="G7" s="6">
        <v>18</v>
      </c>
      <c r="I7" s="6" t="s">
        <v>35</v>
      </c>
      <c r="J7" s="6">
        <v>1</v>
      </c>
      <c r="K7" s="6">
        <v>6</v>
      </c>
      <c r="L7" s="6"/>
      <c r="M7" s="6">
        <v>-1</v>
      </c>
      <c r="N7" s="6"/>
    </row>
    <row r="8" spans="1:26" ht="15.6" x14ac:dyDescent="0.35">
      <c r="A8" t="s">
        <v>38</v>
      </c>
      <c r="C8" t="s">
        <v>22</v>
      </c>
      <c r="E8" s="6">
        <v>6</v>
      </c>
      <c r="F8" s="6">
        <v>2</v>
      </c>
      <c r="G8" s="6">
        <v>26</v>
      </c>
      <c r="I8" s="6" t="s">
        <v>36</v>
      </c>
      <c r="J8" s="6">
        <v>4</v>
      </c>
      <c r="K8" s="6">
        <v>2</v>
      </c>
      <c r="L8" s="6">
        <v>1</v>
      </c>
      <c r="M8" s="6"/>
      <c r="N8" s="6">
        <v>-1</v>
      </c>
    </row>
    <row r="9" spans="1:26" ht="16.8" x14ac:dyDescent="0.35">
      <c r="A9" t="s">
        <v>39</v>
      </c>
      <c r="C9" t="s">
        <v>23</v>
      </c>
      <c r="E9" s="6"/>
      <c r="F9" s="6">
        <v>1</v>
      </c>
      <c r="G9" s="11">
        <f>SQRT(5)</f>
        <v>2.2360679774997898</v>
      </c>
    </row>
    <row r="10" spans="1:26" ht="15.6" x14ac:dyDescent="0.35">
      <c r="A10" t="s">
        <v>44</v>
      </c>
      <c r="C10" t="s">
        <v>45</v>
      </c>
      <c r="E10" s="6">
        <v>-1</v>
      </c>
      <c r="F10" s="6"/>
      <c r="G10" s="11">
        <v>0</v>
      </c>
    </row>
    <row r="11" spans="1:26" ht="15.6" x14ac:dyDescent="0.35">
      <c r="A11" t="s">
        <v>44</v>
      </c>
      <c r="C11" t="s">
        <v>46</v>
      </c>
      <c r="E11" s="6"/>
      <c r="F11" s="6">
        <v>-1</v>
      </c>
      <c r="G11" s="11">
        <v>0</v>
      </c>
    </row>
    <row r="13" spans="1:26" x14ac:dyDescent="0.3">
      <c r="M13" s="10"/>
      <c r="R13" s="6">
        <v>1</v>
      </c>
      <c r="S13" s="6">
        <v>2</v>
      </c>
      <c r="T13" s="6">
        <v>3</v>
      </c>
      <c r="U13" s="6">
        <v>4</v>
      </c>
      <c r="V13" s="6">
        <v>5</v>
      </c>
    </row>
    <row r="14" spans="1:26" s="5" customFormat="1" x14ac:dyDescent="0.3">
      <c r="A14" s="92" t="s">
        <v>52</v>
      </c>
      <c r="B14" s="93" t="s">
        <v>57</v>
      </c>
      <c r="C14" s="93"/>
      <c r="D14" s="13" t="s">
        <v>54</v>
      </c>
      <c r="E14" s="94" t="s">
        <v>58</v>
      </c>
      <c r="F14" s="94"/>
      <c r="G14" s="22" t="s">
        <v>55</v>
      </c>
      <c r="H14" s="22"/>
      <c r="I14" s="95" t="s">
        <v>59</v>
      </c>
      <c r="J14" s="95"/>
      <c r="K14" s="95"/>
      <c r="L14" s="95"/>
      <c r="M14" s="96" t="s">
        <v>77</v>
      </c>
      <c r="N14" s="96"/>
      <c r="O14" s="96"/>
      <c r="P14" s="96"/>
      <c r="Q14" s="96"/>
      <c r="R14" s="97" t="s">
        <v>78</v>
      </c>
      <c r="S14" s="98"/>
      <c r="T14" s="98"/>
      <c r="U14" s="98"/>
      <c r="V14" s="99"/>
      <c r="W14" s="88" t="s">
        <v>79</v>
      </c>
      <c r="X14" s="89"/>
      <c r="Y14" s="89"/>
      <c r="Z14" s="90"/>
    </row>
    <row r="15" spans="1:26" s="5" customFormat="1" ht="24" x14ac:dyDescent="0.55000000000000004">
      <c r="A15" s="92"/>
      <c r="B15" s="17" t="s">
        <v>65</v>
      </c>
      <c r="C15" s="17" t="s">
        <v>66</v>
      </c>
      <c r="D15" s="12" t="s">
        <v>53</v>
      </c>
      <c r="E15" s="20" t="s">
        <v>67</v>
      </c>
      <c r="F15" s="20" t="s">
        <v>68</v>
      </c>
      <c r="G15" s="23" t="s">
        <v>69</v>
      </c>
      <c r="H15" s="23" t="s">
        <v>70</v>
      </c>
      <c r="I15" s="25" t="s">
        <v>51</v>
      </c>
      <c r="J15" s="25" t="s">
        <v>56</v>
      </c>
      <c r="K15" s="25" t="s">
        <v>71</v>
      </c>
      <c r="L15" s="25" t="s">
        <v>72</v>
      </c>
      <c r="M15" s="27" t="s">
        <v>41</v>
      </c>
      <c r="N15" s="27" t="s">
        <v>42</v>
      </c>
      <c r="O15" s="27" t="s">
        <v>43</v>
      </c>
      <c r="P15" s="28" t="s">
        <v>47</v>
      </c>
      <c r="Q15" s="27" t="s">
        <v>48</v>
      </c>
      <c r="R15" s="27" t="s">
        <v>41</v>
      </c>
      <c r="S15" s="27" t="s">
        <v>42</v>
      </c>
      <c r="T15" s="27" t="s">
        <v>43</v>
      </c>
      <c r="U15" s="28" t="s">
        <v>47</v>
      </c>
      <c r="V15" s="27" t="s">
        <v>48</v>
      </c>
      <c r="W15" s="15" t="s">
        <v>74</v>
      </c>
      <c r="X15" s="33" t="s">
        <v>75</v>
      </c>
      <c r="Y15" s="33" t="s">
        <v>76</v>
      </c>
      <c r="Z15" s="14" t="s">
        <v>64</v>
      </c>
    </row>
    <row r="16" spans="1:26" x14ac:dyDescent="0.3">
      <c r="A16" s="8">
        <v>1</v>
      </c>
      <c r="B16" s="18">
        <v>0</v>
      </c>
      <c r="C16" s="18">
        <v>0</v>
      </c>
      <c r="D16" s="8">
        <f>B16*(5-B16^2)+C16*(14-6*$E$4*C16)</f>
        <v>0</v>
      </c>
      <c r="E16" s="21">
        <f>5-3*B16^2</f>
        <v>5</v>
      </c>
      <c r="F16" s="21">
        <f>14-12*$E$4*C16</f>
        <v>14</v>
      </c>
      <c r="G16" s="24">
        <f>E16/SQRT($E16^2+$F16^2)</f>
        <v>0.33633639699815621</v>
      </c>
      <c r="H16" s="24">
        <f>F16/SQRT($E16^2+$F16^2)</f>
        <v>0.94174191159483744</v>
      </c>
      <c r="I16" s="26">
        <v>0.17456592784267411</v>
      </c>
      <c r="J16" s="26">
        <f>G16*(5-(G16*I16+B16)^2)-2*(G16*I16+B16)^2*G16+H16*(14-6*$E$4*(H16*I16+C16))+(H16*I16+C16)*(-6*$E$4*H16)</f>
        <v>-8.8532825515130753E-10</v>
      </c>
      <c r="K16" s="26">
        <f>B16+G16*$I16</f>
        <v>5.8712875209245126E-2</v>
      </c>
      <c r="L16" s="26">
        <f>C16+H16*$I16</f>
        <v>0.16439605058588638</v>
      </c>
      <c r="M16" s="30">
        <f>J$6-(J$7*$K16+J$8*$L16)</f>
        <v>17.283702922447208</v>
      </c>
      <c r="N16" s="30">
        <f t="shared" ref="N16:Q21" si="0">K$6-(K$7*$K16+K$8*$L16)</f>
        <v>25.318930647572756</v>
      </c>
      <c r="O16" s="29">
        <f>5-L16^2</f>
        <v>4.9729739385517631</v>
      </c>
      <c r="P16" s="30">
        <f t="shared" si="0"/>
        <v>5.8712875209245126E-2</v>
      </c>
      <c r="Q16" s="30">
        <f t="shared" si="0"/>
        <v>0.16439605058588638</v>
      </c>
      <c r="R16" s="30" t="str">
        <f t="shared" ref="R16:V21" si="1">IF(M16&lt;0,M16,"")</f>
        <v/>
      </c>
      <c r="S16" s="30" t="str">
        <f t="shared" si="1"/>
        <v/>
      </c>
      <c r="T16" s="30" t="str">
        <f t="shared" si="1"/>
        <v/>
      </c>
      <c r="U16" s="30" t="str">
        <f t="shared" si="1"/>
        <v/>
      </c>
      <c r="V16" s="30" t="str">
        <f t="shared" si="1"/>
        <v/>
      </c>
      <c r="W16" s="31">
        <f>IF(MIN(M16:Q16)&gt;=0,0,MATCH(MIN(R16:V16),R16:V16,0))</f>
        <v>0</v>
      </c>
      <c r="X16" s="32">
        <f t="shared" ref="X16:X21" si="2">IF($W16=0,K16,$Z16/$H16-(-$G16)/$H16*Y16)</f>
        <v>5.8712875209245126E-2</v>
      </c>
      <c r="Y16" s="32">
        <f t="shared" ref="Y16:Y21" ca="1" si="3">IF($W16=0,L16,(OFFSET(I$6,0,$W16)-OFFSET(I$7,0,$W16)*$Z16/$H16)/(-OFFSET(I$7,0,$W16)*(-$G16)/$H16+OFFSET(I$8,0,$W16)))</f>
        <v>0.16439605058588638</v>
      </c>
      <c r="Z16" s="16">
        <f t="shared" ref="Z16:Z21" si="4">SUMPRODUCT(B16:C16,G16:H16)</f>
        <v>0</v>
      </c>
    </row>
    <row r="17" spans="1:27" x14ac:dyDescent="0.3">
      <c r="A17" s="8">
        <v>2</v>
      </c>
      <c r="B17" s="19">
        <f>X16</f>
        <v>5.8712875209245126E-2</v>
      </c>
      <c r="C17" s="19">
        <f ca="1">Y16</f>
        <v>0.16439605058588638</v>
      </c>
      <c r="D17" s="8">
        <f t="shared" ref="D17:D21" ca="1" si="5">B17*(5-B17^2)+C17*(14-6*$E$4*C17)</f>
        <v>1.2976557396091102</v>
      </c>
      <c r="E17" s="21">
        <f>5-3*B17^2</f>
        <v>4.9896583948539908</v>
      </c>
      <c r="F17" s="21">
        <f t="shared" ref="F17:F21" ca="1" si="6">14-12*$E$4*C17</f>
        <v>-1.7820208562450937</v>
      </c>
      <c r="G17" s="24">
        <f ca="1">E17/SQRT($E17^2+$F17^2)</f>
        <v>0.94174191153863707</v>
      </c>
      <c r="H17" s="24">
        <f ca="1">F17/SQRT($E17^2+$F17^2)</f>
        <v>-0.33633639715551739</v>
      </c>
      <c r="I17" s="26">
        <v>0.43232589275807259</v>
      </c>
      <c r="J17" s="26">
        <f t="shared" ref="J17:J21" ca="1" si="7">G17*(5-(G17*I17+B17)^2)-2*(G17*I17+B17)^2*G17+H17*(14-6*$E$4*(H17*I17+C17))+(H17*I17+C17)*(-6*$E$4*H17)</f>
        <v>3.6703098665880063E-7</v>
      </c>
      <c r="K17" s="26">
        <f ca="1">B17+G17*$I17</f>
        <v>0.46585228786288019</v>
      </c>
      <c r="L17" s="26">
        <f ca="1">C17+H17*$I17</f>
        <v>1.898911741859366E-2</v>
      </c>
      <c r="M17" s="30">
        <f t="shared" ref="M17:M21" ca="1" si="8">J$6-(J$7*$K17+J$8*$L17)</f>
        <v>17.458191242462746</v>
      </c>
      <c r="N17" s="30">
        <f t="shared" ca="1" si="0"/>
        <v>23.166908037985532</v>
      </c>
      <c r="O17" s="29">
        <f t="shared" ref="O17:O21" ca="1" si="9">5-L17^2</f>
        <v>4.9996394134196631</v>
      </c>
      <c r="P17" s="30">
        <f t="shared" ca="1" si="0"/>
        <v>0.46585228786288019</v>
      </c>
      <c r="Q17" s="30">
        <f t="shared" ca="1" si="0"/>
        <v>1.898911741859366E-2</v>
      </c>
      <c r="R17" s="30" t="str">
        <f t="shared" ca="1" si="1"/>
        <v/>
      </c>
      <c r="S17" s="30" t="str">
        <f t="shared" ca="1" si="1"/>
        <v/>
      </c>
      <c r="T17" s="30" t="str">
        <f t="shared" ca="1" si="1"/>
        <v/>
      </c>
      <c r="U17" s="30" t="str">
        <f t="shared" ca="1" si="1"/>
        <v/>
      </c>
      <c r="V17" s="30" t="str">
        <f t="shared" ca="1" si="1"/>
        <v/>
      </c>
      <c r="W17" s="31">
        <f t="shared" ref="W17:W21" ca="1" si="10">IF(MIN(M17:Q17)&gt;=0,0,MATCH(MIN(R17:V17),R17:V17,0))</f>
        <v>0</v>
      </c>
      <c r="X17" s="32">
        <f t="shared" ca="1" si="2"/>
        <v>0.46585228786288019</v>
      </c>
      <c r="Y17" s="32">
        <f t="shared" ca="1" si="3"/>
        <v>1.898911741859366E-2</v>
      </c>
      <c r="Z17" s="16">
        <f t="shared" ca="1" si="4"/>
        <v>-2.9169243409565837E-11</v>
      </c>
    </row>
    <row r="18" spans="1:27" x14ac:dyDescent="0.3">
      <c r="A18" s="8">
        <v>3</v>
      </c>
      <c r="B18" s="19">
        <f t="shared" ref="B18:C21" ca="1" si="11">X17</f>
        <v>0.46585228786288019</v>
      </c>
      <c r="C18" s="19">
        <f t="shared" ca="1" si="11"/>
        <v>1.898911741859366E-2</v>
      </c>
      <c r="D18" s="8">
        <f t="shared" ca="1" si="5"/>
        <v>2.4767024305495098</v>
      </c>
      <c r="E18" s="21">
        <f t="shared" ref="E18:E21" ca="1" si="12">5-3*B18^2</f>
        <v>4.3489449376787608</v>
      </c>
      <c r="F18" s="21">
        <f t="shared" ca="1" si="6"/>
        <v>12.177044727815009</v>
      </c>
      <c r="G18" s="24">
        <f t="shared" ref="G18:H21" ca="1" si="13">E18/SQRT($E18^2+$F18^2)</f>
        <v>0.33633642388709689</v>
      </c>
      <c r="H18" s="24">
        <f t="shared" ca="1" si="13"/>
        <v>0.94174190199164387</v>
      </c>
      <c r="I18" s="26">
        <v>0.15127855556738629</v>
      </c>
      <c r="J18" s="26">
        <f t="shared" ca="1" si="7"/>
        <v>5.1742610196470196E-11</v>
      </c>
      <c r="K18" s="26">
        <f t="shared" ref="K18:L21" ca="1" si="14">B18+G18*$I18</f>
        <v>0.51673277625322034</v>
      </c>
      <c r="L18" s="26">
        <f t="shared" ca="1" si="14"/>
        <v>0.1614544720691726</v>
      </c>
      <c r="M18" s="30">
        <f t="shared" ca="1" si="8"/>
        <v>16.83744933547009</v>
      </c>
      <c r="N18" s="30">
        <f t="shared" ca="1" si="0"/>
        <v>22.576694398342333</v>
      </c>
      <c r="O18" s="29">
        <f t="shared" ca="1" si="9"/>
        <v>4.9739324534488647</v>
      </c>
      <c r="P18" s="30">
        <f t="shared" ca="1" si="0"/>
        <v>0.51673277625322034</v>
      </c>
      <c r="Q18" s="30">
        <f t="shared" ca="1" si="0"/>
        <v>0.1614544720691726</v>
      </c>
      <c r="R18" s="30" t="str">
        <f t="shared" ca="1" si="1"/>
        <v/>
      </c>
      <c r="S18" s="30" t="str">
        <f t="shared" ca="1" si="1"/>
        <v/>
      </c>
      <c r="T18" s="30" t="str">
        <f t="shared" ca="1" si="1"/>
        <v/>
      </c>
      <c r="U18" s="30" t="str">
        <f t="shared" ca="1" si="1"/>
        <v/>
      </c>
      <c r="V18" s="30" t="str">
        <f t="shared" ca="1" si="1"/>
        <v/>
      </c>
      <c r="W18" s="31">
        <f t="shared" ca="1" si="10"/>
        <v>0</v>
      </c>
      <c r="X18" s="32">
        <f t="shared" ca="1" si="2"/>
        <v>0.51673277625322034</v>
      </c>
      <c r="Y18" s="32">
        <f t="shared" ca="1" si="3"/>
        <v>0.1614544720691726</v>
      </c>
      <c r="Z18" s="16">
        <f t="shared" ca="1" si="4"/>
        <v>0.17456594011435261</v>
      </c>
    </row>
    <row r="19" spans="1:27" x14ac:dyDescent="0.3">
      <c r="A19" s="8">
        <v>4</v>
      </c>
      <c r="B19" s="19">
        <f t="shared" ca="1" si="11"/>
        <v>0.51673277625322034</v>
      </c>
      <c r="C19" s="19">
        <f t="shared" ca="1" si="11"/>
        <v>0.1614544720691726</v>
      </c>
      <c r="D19" s="8">
        <f t="shared" ca="1" si="5"/>
        <v>3.4548100099486367</v>
      </c>
      <c r="E19" s="21">
        <f t="shared" ca="1" si="12"/>
        <v>4.1989617138369182</v>
      </c>
      <c r="F19" s="21">
        <f t="shared" ca="1" si="6"/>
        <v>-1.4996293186405687</v>
      </c>
      <c r="G19" s="24">
        <f t="shared" ca="1" si="13"/>
        <v>0.94174190199554708</v>
      </c>
      <c r="H19" s="24">
        <f t="shared" ca="1" si="13"/>
        <v>-0.33633642387616819</v>
      </c>
      <c r="I19" s="26">
        <v>0.30993486577820545</v>
      </c>
      <c r="J19" s="26">
        <f t="shared" ca="1" si="7"/>
        <v>-2.8055215939293277E-7</v>
      </c>
      <c r="K19" s="26">
        <f t="shared" ca="1" si="14"/>
        <v>0.80861142624592208</v>
      </c>
      <c r="L19" s="26">
        <f t="shared" ca="1" si="14"/>
        <v>5.7212087678790796E-2</v>
      </c>
      <c r="M19" s="30">
        <f t="shared" ca="1" si="8"/>
        <v>16.962540223038914</v>
      </c>
      <c r="N19" s="30">
        <f t="shared" ca="1" si="0"/>
        <v>21.033907267166885</v>
      </c>
      <c r="O19" s="29">
        <f t="shared" ca="1" si="9"/>
        <v>4.9967267770234347</v>
      </c>
      <c r="P19" s="30">
        <f t="shared" ca="1" si="0"/>
        <v>0.80861142624592208</v>
      </c>
      <c r="Q19" s="30">
        <f t="shared" ca="1" si="0"/>
        <v>5.7212087678790796E-2</v>
      </c>
      <c r="R19" s="30" t="str">
        <f t="shared" ca="1" si="1"/>
        <v/>
      </c>
      <c r="S19" s="30" t="str">
        <f t="shared" ca="1" si="1"/>
        <v/>
      </c>
      <c r="T19" s="30" t="str">
        <f t="shared" ca="1" si="1"/>
        <v/>
      </c>
      <c r="U19" s="30" t="str">
        <f t="shared" ca="1" si="1"/>
        <v/>
      </c>
      <c r="V19" s="30" t="str">
        <f t="shared" ca="1" si="1"/>
        <v/>
      </c>
      <c r="W19" s="31">
        <f t="shared" ca="1" si="10"/>
        <v>0</v>
      </c>
      <c r="X19" s="32">
        <f t="shared" ca="1" si="2"/>
        <v>0.80861142624592208</v>
      </c>
      <c r="Y19" s="32">
        <f t="shared" ca="1" si="3"/>
        <v>5.7212087678790796E-2</v>
      </c>
      <c r="Z19" s="16">
        <f t="shared" ca="1" si="4"/>
        <v>0.43232588777758696</v>
      </c>
    </row>
    <row r="20" spans="1:27" x14ac:dyDescent="0.3">
      <c r="A20" s="8">
        <v>5</v>
      </c>
      <c r="B20" s="19">
        <f t="shared" ca="1" si="11"/>
        <v>0.80861142624592208</v>
      </c>
      <c r="C20" s="19">
        <f t="shared" ca="1" si="11"/>
        <v>5.7212087678790796E-2</v>
      </c>
      <c r="D20" s="8">
        <f t="shared" ca="1" si="5"/>
        <v>4.1581991028819614</v>
      </c>
      <c r="E20" s="21">
        <f t="shared" ca="1" si="12"/>
        <v>3.0384426840336074</v>
      </c>
      <c r="F20" s="21">
        <f t="shared" ca="1" si="6"/>
        <v>8.5076395828360845</v>
      </c>
      <c r="G20" s="24">
        <f t="shared" ca="1" si="13"/>
        <v>0.33633639463004339</v>
      </c>
      <c r="H20" s="24">
        <f t="shared" ca="1" si="13"/>
        <v>0.94174191244059202</v>
      </c>
      <c r="I20" s="26">
        <v>0.10541213522267312</v>
      </c>
      <c r="J20" s="26">
        <f t="shared" ca="1" si="7"/>
        <v>1.8220071673624716E-8</v>
      </c>
      <c r="K20" s="26">
        <f t="shared" ca="1" si="14"/>
        <v>0.84406536375697061</v>
      </c>
      <c r="L20" s="26">
        <f t="shared" ca="1" si="14"/>
        <v>0.15648311349783728</v>
      </c>
      <c r="M20" s="30">
        <f t="shared" ca="1" si="8"/>
        <v>16.530002182251682</v>
      </c>
      <c r="N20" s="30">
        <f t="shared" ca="1" si="0"/>
        <v>20.6226415904625</v>
      </c>
      <c r="O20" s="29">
        <f t="shared" ca="1" si="9"/>
        <v>4.9755130351900227</v>
      </c>
      <c r="P20" s="30">
        <f t="shared" ca="1" si="0"/>
        <v>0.84406536375697061</v>
      </c>
      <c r="Q20" s="30">
        <f t="shared" ca="1" si="0"/>
        <v>0.15648311349783728</v>
      </c>
      <c r="R20" s="30" t="str">
        <f t="shared" ca="1" si="1"/>
        <v/>
      </c>
      <c r="S20" s="30" t="str">
        <f t="shared" ca="1" si="1"/>
        <v/>
      </c>
      <c r="T20" s="30" t="str">
        <f t="shared" ca="1" si="1"/>
        <v/>
      </c>
      <c r="U20" s="30" t="str">
        <f t="shared" ca="1" si="1"/>
        <v/>
      </c>
      <c r="V20" s="30" t="str">
        <f t="shared" ca="1" si="1"/>
        <v/>
      </c>
      <c r="W20" s="31">
        <f t="shared" ca="1" si="10"/>
        <v>0</v>
      </c>
      <c r="X20" s="32">
        <f t="shared" ca="1" si="2"/>
        <v>0.84406536375697061</v>
      </c>
      <c r="Y20" s="32">
        <f t="shared" ca="1" si="3"/>
        <v>0.15648311349783728</v>
      </c>
      <c r="Z20" s="16">
        <f t="shared" ca="1" si="4"/>
        <v>0.32584447262555399</v>
      </c>
    </row>
    <row r="21" spans="1:27" x14ac:dyDescent="0.3">
      <c r="A21" s="8">
        <v>6</v>
      </c>
      <c r="B21" s="19">
        <f t="shared" ca="1" si="11"/>
        <v>0.84406536375697061</v>
      </c>
      <c r="C21" s="19">
        <f t="shared" ca="1" si="11"/>
        <v>0.15648311349783728</v>
      </c>
      <c r="D21" s="8">
        <f t="shared" ca="1" si="5"/>
        <v>4.6343648191860725</v>
      </c>
      <c r="E21" s="21">
        <f t="shared" ca="1" si="12"/>
        <v>2.8626609851174387</v>
      </c>
      <c r="F21" s="21">
        <f t="shared" ca="1" si="6"/>
        <v>-1.0223788957923787</v>
      </c>
      <c r="G21" s="24">
        <f t="shared" ca="1" si="13"/>
        <v>0.94174191445657074</v>
      </c>
      <c r="H21" s="24">
        <f t="shared" ca="1" si="13"/>
        <v>-0.33633638898530299</v>
      </c>
      <c r="I21" s="26">
        <v>0.19199682680051197</v>
      </c>
      <c r="J21" s="26">
        <f t="shared" ca="1" si="7"/>
        <v>5.0721661759567382E-8</v>
      </c>
      <c r="K21" s="26">
        <f t="shared" ca="1" si="14"/>
        <v>1.0248768229976715</v>
      </c>
      <c r="L21" s="26">
        <f t="shared" ca="1" si="14"/>
        <v>9.1907594075116436E-2</v>
      </c>
      <c r="M21" s="30">
        <f t="shared" ca="1" si="8"/>
        <v>16.607492800701863</v>
      </c>
      <c r="N21" s="30">
        <f t="shared" ca="1" si="0"/>
        <v>19.666923873863738</v>
      </c>
      <c r="O21" s="29">
        <f t="shared" ca="1" si="9"/>
        <v>4.9915529941513235</v>
      </c>
      <c r="P21" s="30">
        <f t="shared" ca="1" si="0"/>
        <v>1.0248768229976715</v>
      </c>
      <c r="Q21" s="30">
        <f t="shared" ca="1" si="0"/>
        <v>9.1907594075116436E-2</v>
      </c>
      <c r="R21" s="30" t="str">
        <f t="shared" ca="1" si="1"/>
        <v/>
      </c>
      <c r="S21" s="30" t="str">
        <f t="shared" ca="1" si="1"/>
        <v/>
      </c>
      <c r="T21" s="30" t="str">
        <f t="shared" ca="1" si="1"/>
        <v/>
      </c>
      <c r="U21" s="30" t="str">
        <f t="shared" ca="1" si="1"/>
        <v/>
      </c>
      <c r="V21" s="30" t="str">
        <f t="shared" ca="1" si="1"/>
        <v/>
      </c>
      <c r="W21" s="31">
        <f t="shared" ca="1" si="10"/>
        <v>0</v>
      </c>
      <c r="X21" s="32">
        <f t="shared" ca="1" si="2"/>
        <v>1.0248768229976715</v>
      </c>
      <c r="Y21" s="32">
        <f t="shared" ca="1" si="3"/>
        <v>9.1907594075116436E-2</v>
      </c>
      <c r="Z21" s="16">
        <f t="shared" ca="1" si="4"/>
        <v>0.74226076625993131</v>
      </c>
    </row>
    <row r="22" spans="1:27" x14ac:dyDescent="0.3">
      <c r="A22" s="6">
        <v>7</v>
      </c>
      <c r="B22" s="19" t="s">
        <v>100</v>
      </c>
      <c r="C22" s="19">
        <f t="shared" ref="C22:C24" ca="1" si="15">Y21</f>
        <v>9.1907594075116436E-2</v>
      </c>
      <c r="D22" s="8" t="e">
        <f t="shared" ref="D22:D24" ca="1" si="16">B22*(5-B22^2)+C22*(14-6*$E$4*C22)</f>
        <v>#VALUE!</v>
      </c>
      <c r="E22" s="21" t="e">
        <f t="shared" ref="E22:E24" si="17">5-3*B22^2</f>
        <v>#VALUE!</v>
      </c>
      <c r="F22" s="21">
        <f t="shared" ref="F22:F24" ca="1" si="18">14-12*$E$4*C22</f>
        <v>5.1768709687888226</v>
      </c>
      <c r="G22" s="24" t="e">
        <f t="shared" ref="G22:G24" ca="1" si="19">E22/SQRT($E22^2+$F22^2)</f>
        <v>#VALUE!</v>
      </c>
      <c r="H22" s="24" t="e">
        <f t="shared" ref="H22:H24" ca="1" si="20">F22/SQRT($E22^2+$F22^2)</f>
        <v>#VALUE!</v>
      </c>
      <c r="I22" s="26">
        <v>6.403678947605651E-2</v>
      </c>
      <c r="J22" s="26" t="e">
        <f t="shared" ref="J22:J24" ca="1" si="21">G22*(5-(G22*I22+B22)^2)-2*(G22*I22+B22)^2*G22+H22*(14-6*$E$4*(H22*I22+C22))+(H22*I22+C22)*(-6*$E$4*H22)</f>
        <v>#VALUE!</v>
      </c>
      <c r="K22" s="26" t="e">
        <f t="shared" ref="K22:K24" ca="1" si="22">B22+G22*$I22</f>
        <v>#VALUE!</v>
      </c>
      <c r="L22" s="26" t="e">
        <f t="shared" ref="L22:L24" ca="1" si="23">C22+H22*$I22</f>
        <v>#VALUE!</v>
      </c>
      <c r="M22" s="30" t="e">
        <f t="shared" ref="M22:M24" ca="1" si="24">J$6-(J$7*$K22+J$8*$L22)</f>
        <v>#VALUE!</v>
      </c>
      <c r="N22" s="30" t="e">
        <f t="shared" ref="N22:N24" ca="1" si="25">K$6-(K$7*$K22+K$8*$L22)</f>
        <v>#VALUE!</v>
      </c>
      <c r="O22" s="29" t="e">
        <f t="shared" ref="O22:O24" ca="1" si="26">5-L22^2</f>
        <v>#VALUE!</v>
      </c>
      <c r="P22" s="30" t="e">
        <f t="shared" ref="P22:P24" ca="1" si="27">M$6-(M$7*$K22+M$8*$L22)</f>
        <v>#VALUE!</v>
      </c>
      <c r="Q22" s="30" t="e">
        <f t="shared" ref="Q22:Q24" ca="1" si="28">N$6-(N$7*$K22+N$8*$L22)</f>
        <v>#VALUE!</v>
      </c>
      <c r="R22" s="30" t="e">
        <f t="shared" ref="R22:R24" ca="1" si="29">IF(M22&lt;0,M22,"")</f>
        <v>#VALUE!</v>
      </c>
      <c r="S22" s="30" t="e">
        <f t="shared" ref="S22:S24" ca="1" si="30">IF(N22&lt;0,N22,"")</f>
        <v>#VALUE!</v>
      </c>
      <c r="T22" s="30" t="e">
        <f t="shared" ref="T22:T24" ca="1" si="31">IF(O22&lt;0,O22,"")</f>
        <v>#VALUE!</v>
      </c>
      <c r="U22" s="30" t="e">
        <f t="shared" ref="U22:U24" ca="1" si="32">IF(P22&lt;0,P22,"")</f>
        <v>#VALUE!</v>
      </c>
      <c r="V22" s="30" t="e">
        <f t="shared" ref="V22:V24" ca="1" si="33">IF(Q22&lt;0,Q22,"")</f>
        <v>#VALUE!</v>
      </c>
      <c r="W22" s="31" t="e">
        <f t="shared" ref="W22:W24" ca="1" si="34">IF(MIN(M22:Q22)&gt;=0,0,MATCH(MIN(R22:V22),R22:V22,0))</f>
        <v>#VALUE!</v>
      </c>
      <c r="X22" s="32" t="e">
        <f t="shared" ref="X22:X24" ca="1" si="35">IF($W22=0,K22,$Z22/$H22-(-$G22)/$H22*Y22)</f>
        <v>#VALUE!</v>
      </c>
      <c r="Y22" s="32" t="e">
        <f t="shared" ref="Y22:Y24" ca="1" si="36">IF($W22=0,L22,(OFFSET(I$6,0,$W22)-OFFSET(I$7,0,$W22)*$Z22/$H22)/(-OFFSET(I$7,0,$W22)*(-$G22)/$H22+OFFSET(I$8,0,$W22)))</f>
        <v>#VALUE!</v>
      </c>
      <c r="Z22" s="16" t="e">
        <f t="shared" ref="Z22:Z24" ca="1" si="37">SUMPRODUCT(B22:C22,G22:H22)</f>
        <v>#VALUE!</v>
      </c>
    </row>
    <row r="23" spans="1:27" x14ac:dyDescent="0.3">
      <c r="A23" s="6">
        <v>8</v>
      </c>
      <c r="B23" s="19" t="e">
        <f t="shared" ref="B23:B24" ca="1" si="38">X22</f>
        <v>#VALUE!</v>
      </c>
      <c r="C23" s="19" t="e">
        <f t="shared" ca="1" si="15"/>
        <v>#VALUE!</v>
      </c>
      <c r="D23" s="8" t="e">
        <f t="shared" ca="1" si="16"/>
        <v>#VALUE!</v>
      </c>
      <c r="E23" s="21" t="e">
        <f t="shared" ca="1" si="17"/>
        <v>#VALUE!</v>
      </c>
      <c r="F23" s="21" t="e">
        <f t="shared" ca="1" si="18"/>
        <v>#VALUE!</v>
      </c>
      <c r="G23" s="24" t="e">
        <f t="shared" ca="1" si="19"/>
        <v>#VALUE!</v>
      </c>
      <c r="H23" s="24" t="e">
        <f t="shared" ca="1" si="20"/>
        <v>#VALUE!</v>
      </c>
      <c r="I23" s="26">
        <v>0.10904275415298825</v>
      </c>
      <c r="J23" s="26" t="e">
        <f t="shared" ca="1" si="21"/>
        <v>#VALUE!</v>
      </c>
      <c r="K23" s="26" t="e">
        <f t="shared" ca="1" si="22"/>
        <v>#VALUE!</v>
      </c>
      <c r="L23" s="26" t="e">
        <f t="shared" ca="1" si="23"/>
        <v>#VALUE!</v>
      </c>
      <c r="M23" s="30" t="e">
        <f t="shared" ca="1" si="24"/>
        <v>#VALUE!</v>
      </c>
      <c r="N23" s="30" t="e">
        <f t="shared" ca="1" si="25"/>
        <v>#VALUE!</v>
      </c>
      <c r="O23" s="29" t="e">
        <f t="shared" ca="1" si="26"/>
        <v>#VALUE!</v>
      </c>
      <c r="P23" s="30" t="e">
        <f t="shared" ca="1" si="27"/>
        <v>#VALUE!</v>
      </c>
      <c r="Q23" s="30" t="e">
        <f t="shared" ca="1" si="28"/>
        <v>#VALUE!</v>
      </c>
      <c r="R23" s="30" t="e">
        <f t="shared" ca="1" si="29"/>
        <v>#VALUE!</v>
      </c>
      <c r="S23" s="30" t="e">
        <f t="shared" ca="1" si="30"/>
        <v>#VALUE!</v>
      </c>
      <c r="T23" s="30" t="e">
        <f t="shared" ca="1" si="31"/>
        <v>#VALUE!</v>
      </c>
      <c r="U23" s="30" t="e">
        <f t="shared" ca="1" si="32"/>
        <v>#VALUE!</v>
      </c>
      <c r="V23" s="30" t="e">
        <f t="shared" ca="1" si="33"/>
        <v>#VALUE!</v>
      </c>
      <c r="W23" s="31" t="e">
        <f t="shared" ca="1" si="34"/>
        <v>#VALUE!</v>
      </c>
      <c r="X23" s="32" t="e">
        <f t="shared" ca="1" si="35"/>
        <v>#VALUE!</v>
      </c>
      <c r="Y23" s="32" t="e">
        <f t="shared" ca="1" si="36"/>
        <v>#VALUE!</v>
      </c>
      <c r="Z23" s="16" t="e">
        <f t="shared" ca="1" si="37"/>
        <v>#VALUE!</v>
      </c>
    </row>
    <row r="24" spans="1:27" x14ac:dyDescent="0.3">
      <c r="A24" s="6">
        <v>9</v>
      </c>
      <c r="B24" s="19" t="e">
        <f t="shared" ca="1" si="38"/>
        <v>#VALUE!</v>
      </c>
      <c r="C24" s="19" t="e">
        <f t="shared" ca="1" si="15"/>
        <v>#VALUE!</v>
      </c>
      <c r="D24" s="8" t="e">
        <f t="shared" ca="1" si="16"/>
        <v>#VALUE!</v>
      </c>
      <c r="E24" s="21" t="e">
        <f t="shared" ca="1" si="17"/>
        <v>#VALUE!</v>
      </c>
      <c r="F24" s="21" t="e">
        <f t="shared" ca="1" si="18"/>
        <v>#VALUE!</v>
      </c>
      <c r="G24" s="24" t="e">
        <f t="shared" ca="1" si="19"/>
        <v>#VALUE!</v>
      </c>
      <c r="H24" s="24" t="e">
        <f t="shared" ca="1" si="20"/>
        <v>#VALUE!</v>
      </c>
      <c r="I24" s="26">
        <v>3.5940930675583793E-2</v>
      </c>
      <c r="J24" s="26" t="e">
        <f t="shared" ca="1" si="21"/>
        <v>#VALUE!</v>
      </c>
      <c r="K24" s="26" t="e">
        <f t="shared" ca="1" si="22"/>
        <v>#VALUE!</v>
      </c>
      <c r="L24" s="26" t="e">
        <f t="shared" ca="1" si="23"/>
        <v>#VALUE!</v>
      </c>
      <c r="M24" s="30" t="e">
        <f t="shared" ca="1" si="24"/>
        <v>#VALUE!</v>
      </c>
      <c r="N24" s="30" t="e">
        <f t="shared" ca="1" si="25"/>
        <v>#VALUE!</v>
      </c>
      <c r="O24" s="29" t="e">
        <f t="shared" ca="1" si="26"/>
        <v>#VALUE!</v>
      </c>
      <c r="P24" s="30" t="e">
        <f t="shared" ca="1" si="27"/>
        <v>#VALUE!</v>
      </c>
      <c r="Q24" s="30" t="e">
        <f t="shared" ca="1" si="28"/>
        <v>#VALUE!</v>
      </c>
      <c r="R24" s="30" t="e">
        <f t="shared" ca="1" si="29"/>
        <v>#VALUE!</v>
      </c>
      <c r="S24" s="30" t="e">
        <f t="shared" ca="1" si="30"/>
        <v>#VALUE!</v>
      </c>
      <c r="T24" s="30" t="e">
        <f t="shared" ca="1" si="31"/>
        <v>#VALUE!</v>
      </c>
      <c r="U24" s="30" t="e">
        <f t="shared" ca="1" si="32"/>
        <v>#VALUE!</v>
      </c>
      <c r="V24" s="30" t="e">
        <f t="shared" ca="1" si="33"/>
        <v>#VALUE!</v>
      </c>
      <c r="W24" s="31" t="e">
        <f t="shared" ca="1" si="34"/>
        <v>#VALUE!</v>
      </c>
      <c r="X24" s="32" t="e">
        <f t="shared" ca="1" si="35"/>
        <v>#VALUE!</v>
      </c>
      <c r="Y24" s="32" t="e">
        <f t="shared" ca="1" si="36"/>
        <v>#VALUE!</v>
      </c>
      <c r="Z24" s="16" t="e">
        <f t="shared" ca="1" si="37"/>
        <v>#VALUE!</v>
      </c>
    </row>
    <row r="25" spans="1:27" x14ac:dyDescent="0.3">
      <c r="A25" s="6"/>
      <c r="B25" s="11"/>
      <c r="C25" s="11"/>
      <c r="D25" s="6"/>
      <c r="E25" s="6"/>
      <c r="F25" s="6"/>
      <c r="G25" s="11"/>
      <c r="H25" s="11"/>
      <c r="I25" s="11"/>
      <c r="J25" s="11"/>
      <c r="K25" s="11"/>
      <c r="L25" s="1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7" x14ac:dyDescent="0.3">
      <c r="A26" s="5" t="s">
        <v>60</v>
      </c>
      <c r="B26" s="6"/>
      <c r="C26" s="11"/>
      <c r="D26" s="11"/>
      <c r="E26" s="6"/>
      <c r="F26" s="6"/>
      <c r="G26" s="6"/>
      <c r="H26" s="11"/>
      <c r="I26" s="26">
        <v>1.3765320949596291</v>
      </c>
      <c r="J26" s="11"/>
      <c r="K26" s="11"/>
      <c r="L26" s="11"/>
      <c r="M26" s="11"/>
      <c r="AA26" s="7"/>
    </row>
    <row r="27" spans="1:27" x14ac:dyDescent="0.3">
      <c r="A27" s="5" t="s">
        <v>57</v>
      </c>
      <c r="B27" s="6"/>
      <c r="C27" s="11"/>
      <c r="D27" s="11"/>
      <c r="E27" s="6"/>
      <c r="F27" s="6"/>
      <c r="G27" s="6"/>
      <c r="H27" s="11"/>
      <c r="I27" s="11"/>
      <c r="J27" s="11"/>
      <c r="K27" s="11"/>
      <c r="L27" s="11"/>
      <c r="M27" s="11"/>
      <c r="AA27" s="7"/>
    </row>
    <row r="28" spans="1:27" x14ac:dyDescent="0.3">
      <c r="A28" t="s">
        <v>87</v>
      </c>
      <c r="B28" s="6"/>
      <c r="C28" s="11"/>
      <c r="D28" s="11"/>
      <c r="E28" s="6"/>
      <c r="F28" s="6"/>
      <c r="G28" s="6"/>
      <c r="H28" s="11"/>
      <c r="I28" s="11"/>
      <c r="J28" s="11"/>
      <c r="K28" s="11"/>
      <c r="L28" s="11"/>
      <c r="M28" s="11"/>
      <c r="AA28" s="7"/>
    </row>
    <row r="29" spans="1:27" x14ac:dyDescent="0.3">
      <c r="B29" s="6"/>
      <c r="C29" s="11"/>
      <c r="D29" s="11"/>
      <c r="E29" s="6"/>
      <c r="F29" s="6"/>
      <c r="G29" s="6"/>
      <c r="H29" s="11"/>
      <c r="I29" s="11"/>
      <c r="J29" s="11"/>
      <c r="K29" s="11"/>
      <c r="L29" s="11"/>
      <c r="M29" s="11"/>
      <c r="AA29" s="7"/>
    </row>
    <row r="30" spans="1:27" x14ac:dyDescent="0.3">
      <c r="A30" s="5" t="s">
        <v>88</v>
      </c>
      <c r="B30" s="6"/>
      <c r="C30" s="11"/>
      <c r="D30" s="11"/>
      <c r="E30" s="6"/>
      <c r="F30" s="6"/>
      <c r="G30" s="6"/>
      <c r="H30" s="11"/>
      <c r="I30" s="11"/>
      <c r="J30" s="11"/>
      <c r="K30" s="11"/>
      <c r="L30" s="11"/>
      <c r="M30" s="11"/>
      <c r="AA30" s="7"/>
    </row>
    <row r="31" spans="1:27" ht="16.8" x14ac:dyDescent="0.35">
      <c r="A31" t="s">
        <v>61</v>
      </c>
      <c r="M31" s="10"/>
      <c r="AA31" s="7"/>
    </row>
    <row r="32" spans="1:27" ht="15.6" x14ac:dyDescent="0.35">
      <c r="A32" t="s">
        <v>62</v>
      </c>
      <c r="AA32" s="7"/>
    </row>
    <row r="33" spans="1:27" x14ac:dyDescent="0.3">
      <c r="A33" t="s">
        <v>94</v>
      </c>
      <c r="AA33" s="7"/>
    </row>
    <row r="34" spans="1:27" ht="24.6" x14ac:dyDescent="0.55000000000000004">
      <c r="A34" s="40" t="s">
        <v>95</v>
      </c>
      <c r="AA34" s="7"/>
    </row>
    <row r="35" spans="1:27" ht="24.6" x14ac:dyDescent="0.55000000000000004">
      <c r="A35" s="40" t="s">
        <v>96</v>
      </c>
      <c r="AA35" s="7"/>
    </row>
    <row r="36" spans="1:27" x14ac:dyDescent="0.3">
      <c r="AA36" s="7"/>
    </row>
    <row r="37" spans="1:27" x14ac:dyDescent="0.3">
      <c r="A37" s="5" t="s">
        <v>89</v>
      </c>
      <c r="AA37" s="7"/>
    </row>
    <row r="38" spans="1:27" ht="24" x14ac:dyDescent="0.55000000000000004">
      <c r="A38" t="s">
        <v>49</v>
      </c>
      <c r="AA38" s="7"/>
    </row>
    <row r="39" spans="1:27" ht="16.8" x14ac:dyDescent="0.35">
      <c r="A39" t="s">
        <v>50</v>
      </c>
      <c r="AA39" s="7"/>
    </row>
    <row r="40" spans="1:27" x14ac:dyDescent="0.3">
      <c r="A40" t="s">
        <v>80</v>
      </c>
      <c r="AA40" s="7"/>
    </row>
    <row r="41" spans="1:27" x14ac:dyDescent="0.3">
      <c r="A41" t="s">
        <v>90</v>
      </c>
      <c r="AA41" s="7"/>
    </row>
    <row r="42" spans="1:27" ht="15.6" x14ac:dyDescent="0.35">
      <c r="A42" t="s">
        <v>81</v>
      </c>
      <c r="AA42" s="7"/>
    </row>
    <row r="43" spans="1:27" ht="24" x14ac:dyDescent="0.55000000000000004">
      <c r="A43" t="s">
        <v>83</v>
      </c>
      <c r="AA43" s="7"/>
    </row>
    <row r="44" spans="1:27" x14ac:dyDescent="0.3">
      <c r="AA44" s="7"/>
    </row>
    <row r="45" spans="1:27" x14ac:dyDescent="0.3">
      <c r="A45" s="5" t="s">
        <v>82</v>
      </c>
      <c r="AA45" s="7"/>
    </row>
    <row r="46" spans="1:27" ht="15.6" x14ac:dyDescent="0.35">
      <c r="A46" s="34" t="s">
        <v>84</v>
      </c>
      <c r="AA46" s="7"/>
    </row>
    <row r="47" spans="1:27" x14ac:dyDescent="0.3">
      <c r="A47" s="34"/>
      <c r="AA47" s="7"/>
    </row>
    <row r="48" spans="1:27" x14ac:dyDescent="0.3">
      <c r="A48" s="35" t="s">
        <v>91</v>
      </c>
      <c r="AA48" s="7"/>
    </row>
    <row r="49" spans="1:27" ht="15.6" x14ac:dyDescent="0.35">
      <c r="A49" t="s">
        <v>85</v>
      </c>
      <c r="AA49" s="7"/>
    </row>
    <row r="50" spans="1:27" ht="45" customHeight="1" x14ac:dyDescent="0.3">
      <c r="A50" s="91" t="s">
        <v>86</v>
      </c>
      <c r="B50" s="91"/>
      <c r="C50" s="91"/>
      <c r="D50" s="91"/>
      <c r="E50" s="91"/>
      <c r="F50" s="91"/>
      <c r="G50" s="91"/>
      <c r="H50" s="91"/>
      <c r="AA50" s="7"/>
    </row>
    <row r="51" spans="1:27" x14ac:dyDescent="0.3">
      <c r="AA51" s="7"/>
    </row>
    <row r="52" spans="1:27" x14ac:dyDescent="0.3">
      <c r="AA52" s="7"/>
    </row>
    <row r="53" spans="1:27" x14ac:dyDescent="0.3">
      <c r="A53" s="5" t="s">
        <v>73</v>
      </c>
      <c r="AA53" s="7"/>
    </row>
    <row r="54" spans="1:27" ht="15.6" x14ac:dyDescent="0.35">
      <c r="B54" s="6" t="s">
        <v>35</v>
      </c>
      <c r="C54" s="6" t="s">
        <v>36</v>
      </c>
      <c r="AA54" s="7"/>
    </row>
    <row r="55" spans="1:27" x14ac:dyDescent="0.3">
      <c r="A55" t="s">
        <v>37</v>
      </c>
      <c r="B55" s="6">
        <v>0</v>
      </c>
      <c r="C55" s="6">
        <f>G7/F7</f>
        <v>4.5</v>
      </c>
    </row>
    <row r="56" spans="1:27" x14ac:dyDescent="0.3">
      <c r="B56" s="6">
        <f>G7/E7</f>
        <v>18</v>
      </c>
      <c r="C56" s="6">
        <v>0</v>
      </c>
    </row>
    <row r="57" spans="1:27" x14ac:dyDescent="0.3">
      <c r="A57" t="s">
        <v>38</v>
      </c>
      <c r="B57" s="6">
        <f>G8/E8</f>
        <v>4.333333333333333</v>
      </c>
      <c r="C57" s="6">
        <v>0</v>
      </c>
    </row>
    <row r="58" spans="1:27" x14ac:dyDescent="0.3">
      <c r="B58" s="6">
        <v>0</v>
      </c>
      <c r="C58" s="6">
        <f>G8/F8</f>
        <v>13</v>
      </c>
    </row>
    <row r="59" spans="1:27" x14ac:dyDescent="0.3">
      <c r="A59" t="s">
        <v>39</v>
      </c>
      <c r="B59" s="6">
        <v>0</v>
      </c>
      <c r="C59" s="11">
        <f>G9</f>
        <v>2.2360679774997898</v>
      </c>
    </row>
    <row r="60" spans="1:27" x14ac:dyDescent="0.3">
      <c r="B60" s="6">
        <v>18</v>
      </c>
      <c r="C60" s="11">
        <f>G9</f>
        <v>2.2360679774997898</v>
      </c>
    </row>
  </sheetData>
  <mergeCells count="8">
    <mergeCell ref="W14:Z14"/>
    <mergeCell ref="A50:H50"/>
    <mergeCell ref="A14:A15"/>
    <mergeCell ref="B14:C14"/>
    <mergeCell ref="E14:F14"/>
    <mergeCell ref="I14:L14"/>
    <mergeCell ref="M14:Q14"/>
    <mergeCell ref="R14:V1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zoomScale="78" zoomScaleNormal="170" workbookViewId="0">
      <selection activeCell="F4" sqref="F4"/>
    </sheetView>
  </sheetViews>
  <sheetFormatPr defaultRowHeight="14.4" x14ac:dyDescent="0.3"/>
  <cols>
    <col min="1" max="1" width="22.44140625" customWidth="1"/>
  </cols>
  <sheetData>
    <row r="1" spans="1:7" x14ac:dyDescent="0.3">
      <c r="A1" t="s">
        <v>16</v>
      </c>
    </row>
    <row r="2" spans="1:7" x14ac:dyDescent="0.3">
      <c r="A2" s="5" t="s">
        <v>17</v>
      </c>
    </row>
    <row r="4" spans="1:7" x14ac:dyDescent="0.3">
      <c r="A4" t="s">
        <v>18</v>
      </c>
    </row>
    <row r="5" spans="1:7" ht="16.8" x14ac:dyDescent="0.35">
      <c r="A5" t="s">
        <v>20</v>
      </c>
    </row>
    <row r="6" spans="1:7" x14ac:dyDescent="0.3">
      <c r="A6" t="s">
        <v>19</v>
      </c>
    </row>
    <row r="7" spans="1:7" ht="15.6" x14ac:dyDescent="0.35">
      <c r="B7" t="s">
        <v>21</v>
      </c>
    </row>
    <row r="8" spans="1:7" ht="15.6" x14ac:dyDescent="0.35">
      <c r="B8" t="s">
        <v>22</v>
      </c>
    </row>
    <row r="9" spans="1:7" ht="16.8" x14ac:dyDescent="0.35">
      <c r="B9" t="s">
        <v>23</v>
      </c>
    </row>
    <row r="10" spans="1:7" ht="15.6" x14ac:dyDescent="0.35">
      <c r="A10" t="s">
        <v>103</v>
      </c>
    </row>
    <row r="12" spans="1:7" ht="15.6" x14ac:dyDescent="0.35">
      <c r="A12" t="s">
        <v>104</v>
      </c>
    </row>
    <row r="14" spans="1:7" x14ac:dyDescent="0.3">
      <c r="A14" t="s">
        <v>102</v>
      </c>
    </row>
    <row r="16" spans="1:7" ht="16.8" x14ac:dyDescent="0.35">
      <c r="A16" t="s">
        <v>106</v>
      </c>
      <c r="G16" t="s">
        <v>113</v>
      </c>
    </row>
    <row r="17" spans="1:14" x14ac:dyDescent="0.3">
      <c r="A17" s="5" t="s">
        <v>101</v>
      </c>
    </row>
    <row r="18" spans="1:14" ht="15.6" x14ac:dyDescent="0.35">
      <c r="A18" t="s">
        <v>105</v>
      </c>
      <c r="G18" t="s">
        <v>114</v>
      </c>
    </row>
    <row r="19" spans="1:14" x14ac:dyDescent="0.3">
      <c r="G19" t="s">
        <v>115</v>
      </c>
    </row>
    <row r="21" spans="1:14" ht="15.6" x14ac:dyDescent="0.35">
      <c r="A21" s="6" t="s">
        <v>109</v>
      </c>
      <c r="B21" s="6">
        <v>0</v>
      </c>
      <c r="C21" s="6">
        <v>1</v>
      </c>
      <c r="D21" s="6">
        <v>2</v>
      </c>
      <c r="E21" s="6">
        <v>3</v>
      </c>
      <c r="F21" s="6">
        <v>0</v>
      </c>
      <c r="G21" s="6">
        <v>1</v>
      </c>
      <c r="H21" s="6">
        <v>2</v>
      </c>
      <c r="I21" s="6">
        <v>3</v>
      </c>
    </row>
    <row r="22" spans="1:14" ht="15" thickBot="1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14" ht="16.8" thickTop="1" thickBot="1" x14ac:dyDescent="0.35">
      <c r="A23" s="46"/>
      <c r="B23" s="76" t="s">
        <v>1</v>
      </c>
      <c r="C23" s="77"/>
      <c r="D23" s="77"/>
      <c r="E23" s="77"/>
      <c r="F23" s="77"/>
      <c r="G23" s="77"/>
      <c r="H23" s="77"/>
      <c r="I23" s="77"/>
      <c r="J23" s="77"/>
      <c r="K23" s="78"/>
      <c r="L23" s="79" t="s">
        <v>2</v>
      </c>
      <c r="M23" s="80"/>
      <c r="N23" s="81"/>
    </row>
    <row r="24" spans="1:14" ht="21" customHeight="1" thickBot="1" x14ac:dyDescent="0.35">
      <c r="A24" s="47" t="s">
        <v>0</v>
      </c>
      <c r="B24" s="48" t="s">
        <v>3</v>
      </c>
      <c r="C24" s="48" t="s">
        <v>4</v>
      </c>
      <c r="D24" s="48" t="s">
        <v>5</v>
      </c>
      <c r="E24" s="48" t="s">
        <v>6</v>
      </c>
      <c r="F24" s="48" t="s">
        <v>7</v>
      </c>
      <c r="G24" s="48" t="s">
        <v>8</v>
      </c>
      <c r="H24" s="48" t="s">
        <v>9</v>
      </c>
      <c r="I24" s="48" t="s">
        <v>10</v>
      </c>
      <c r="J24" s="48" t="s">
        <v>11</v>
      </c>
      <c r="K24" s="48" t="s">
        <v>12</v>
      </c>
      <c r="L24" s="82"/>
      <c r="M24" s="83"/>
      <c r="N24" s="84"/>
    </row>
    <row r="25" spans="1:14" ht="21" customHeight="1" x14ac:dyDescent="0.3">
      <c r="A25" s="71"/>
      <c r="B25" s="85" t="s">
        <v>107</v>
      </c>
      <c r="C25" s="86"/>
      <c r="D25" s="86"/>
      <c r="E25" s="87"/>
      <c r="F25" s="85" t="s">
        <v>108</v>
      </c>
      <c r="G25" s="86"/>
      <c r="H25" s="86"/>
      <c r="I25" s="87"/>
      <c r="J25" s="72"/>
      <c r="K25" s="72"/>
      <c r="L25" s="73"/>
      <c r="M25" s="73"/>
      <c r="N25" s="74"/>
    </row>
    <row r="26" spans="1:14" ht="33.6" x14ac:dyDescent="0.3">
      <c r="A26" s="1" t="s">
        <v>110</v>
      </c>
      <c r="B26" s="2">
        <f>B21*(5-B21^2)</f>
        <v>0</v>
      </c>
      <c r="C26" s="2">
        <f t="shared" ref="C26:E26" si="0">C21*(5-C21^2)</f>
        <v>4</v>
      </c>
      <c r="D26" s="2">
        <f t="shared" si="0"/>
        <v>2</v>
      </c>
      <c r="E26" s="2">
        <f t="shared" si="0"/>
        <v>-12</v>
      </c>
      <c r="F26" s="2">
        <f>F21*(14-6*F21)</f>
        <v>0</v>
      </c>
      <c r="G26" s="2">
        <f t="shared" ref="G26:I26" si="1">G21*(14-6*G21)</f>
        <v>8</v>
      </c>
      <c r="H26" s="2">
        <f t="shared" si="1"/>
        <v>4</v>
      </c>
      <c r="I26" s="2">
        <f t="shared" si="1"/>
        <v>-12</v>
      </c>
      <c r="J26" s="2"/>
      <c r="K26" s="2"/>
      <c r="L26" s="3" t="s">
        <v>26</v>
      </c>
      <c r="M26" s="3" t="s">
        <v>27</v>
      </c>
      <c r="N26" s="4" t="s">
        <v>28</v>
      </c>
    </row>
    <row r="27" spans="1:14" ht="15.6" x14ac:dyDescent="0.3">
      <c r="A27" s="41" t="s">
        <v>29</v>
      </c>
      <c r="B27" s="42"/>
      <c r="C27" s="42"/>
      <c r="D27" s="42"/>
      <c r="E27" s="42"/>
      <c r="F27" s="42"/>
      <c r="G27" s="42"/>
      <c r="H27" s="42"/>
      <c r="I27" s="42"/>
      <c r="J27" s="42">
        <v>1</v>
      </c>
      <c r="K27" s="42">
        <v>4</v>
      </c>
      <c r="L27" s="44">
        <f>SUMPRODUCT(B27:K27,$B$36:$K$36)</f>
        <v>5</v>
      </c>
      <c r="M27" s="44" t="s">
        <v>14</v>
      </c>
      <c r="N27" s="45">
        <v>18</v>
      </c>
    </row>
    <row r="28" spans="1:14" ht="15.6" x14ac:dyDescent="0.3">
      <c r="A28" s="9" t="s">
        <v>30</v>
      </c>
      <c r="B28" s="2"/>
      <c r="C28" s="2"/>
      <c r="D28" s="2"/>
      <c r="E28" s="2"/>
      <c r="F28" s="2"/>
      <c r="G28" s="2"/>
      <c r="H28" s="2"/>
      <c r="I28" s="2"/>
      <c r="J28" s="2">
        <v>6</v>
      </c>
      <c r="K28" s="2">
        <v>2</v>
      </c>
      <c r="L28" s="70">
        <f t="shared" ref="L28:L33" si="2">SUMPRODUCT(B28:K28,$B$36:$K$36)</f>
        <v>8</v>
      </c>
      <c r="M28" s="3" t="s">
        <v>14</v>
      </c>
      <c r="N28" s="4">
        <v>26</v>
      </c>
    </row>
    <row r="29" spans="1:14" ht="15.6" x14ac:dyDescent="0.3">
      <c r="A29" s="41" t="s">
        <v>31</v>
      </c>
      <c r="B29" s="42"/>
      <c r="C29" s="42"/>
      <c r="D29" s="42"/>
      <c r="E29" s="42"/>
      <c r="F29" s="42">
        <f>F21^2</f>
        <v>0</v>
      </c>
      <c r="G29" s="42">
        <f t="shared" ref="G29:I29" si="3">G21^2</f>
        <v>1</v>
      </c>
      <c r="H29" s="42">
        <f t="shared" si="3"/>
        <v>4</v>
      </c>
      <c r="I29" s="42">
        <f t="shared" si="3"/>
        <v>9</v>
      </c>
      <c r="J29" s="42"/>
      <c r="K29" s="42"/>
      <c r="L29" s="44">
        <f>SUMPRODUCT(B29:K29,$B$36:$K$36)</f>
        <v>1</v>
      </c>
      <c r="M29" s="44" t="s">
        <v>14</v>
      </c>
      <c r="N29" s="45">
        <v>5</v>
      </c>
    </row>
    <row r="30" spans="1:14" ht="18" x14ac:dyDescent="0.3">
      <c r="A30" s="1" t="s">
        <v>111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2"/>
      <c r="I30" s="2"/>
      <c r="J30" s="2"/>
      <c r="K30" s="2"/>
      <c r="L30" s="70">
        <f t="shared" si="2"/>
        <v>1</v>
      </c>
      <c r="M30" s="3" t="s">
        <v>15</v>
      </c>
      <c r="N30" s="4">
        <v>1</v>
      </c>
    </row>
    <row r="31" spans="1:14" ht="18" x14ac:dyDescent="0.3">
      <c r="A31" s="65" t="s">
        <v>112</v>
      </c>
      <c r="B31" s="42"/>
      <c r="C31" s="42"/>
      <c r="D31" s="42"/>
      <c r="E31" s="42"/>
      <c r="F31" s="42">
        <v>1</v>
      </c>
      <c r="G31" s="42">
        <v>1</v>
      </c>
      <c r="H31" s="42">
        <v>1</v>
      </c>
      <c r="I31" s="42">
        <v>1</v>
      </c>
      <c r="J31" s="42"/>
      <c r="K31" s="42"/>
      <c r="L31" s="44">
        <f t="shared" si="2"/>
        <v>1</v>
      </c>
      <c r="M31" s="44" t="s">
        <v>15</v>
      </c>
      <c r="N31" s="45">
        <v>1</v>
      </c>
    </row>
    <row r="32" spans="1:14" ht="18" x14ac:dyDescent="0.3">
      <c r="A32" s="1" t="s">
        <v>32</v>
      </c>
      <c r="B32" s="2">
        <v>0</v>
      </c>
      <c r="C32" s="2">
        <v>1</v>
      </c>
      <c r="D32" s="2">
        <v>2</v>
      </c>
      <c r="E32" s="2">
        <v>3</v>
      </c>
      <c r="F32" s="2"/>
      <c r="G32" s="2"/>
      <c r="H32" s="2"/>
      <c r="I32" s="2"/>
      <c r="J32" s="2">
        <v>-1</v>
      </c>
      <c r="K32" s="2"/>
      <c r="L32" s="70">
        <f>SUMPRODUCT(B32:K32,$B$36:$K$36)</f>
        <v>0</v>
      </c>
      <c r="M32" s="3" t="s">
        <v>15</v>
      </c>
      <c r="N32" s="4">
        <v>0</v>
      </c>
    </row>
    <row r="33" spans="1:14" ht="18.600000000000001" thickBot="1" x14ac:dyDescent="0.35">
      <c r="A33" s="66" t="s">
        <v>33</v>
      </c>
      <c r="B33" s="67"/>
      <c r="C33" s="67"/>
      <c r="D33" s="67"/>
      <c r="E33" s="67"/>
      <c r="F33" s="67">
        <v>0</v>
      </c>
      <c r="G33" s="67">
        <v>1</v>
      </c>
      <c r="H33" s="67">
        <v>2</v>
      </c>
      <c r="I33" s="67">
        <v>3</v>
      </c>
      <c r="J33" s="67"/>
      <c r="K33" s="67">
        <v>-1</v>
      </c>
      <c r="L33" s="44">
        <f t="shared" si="2"/>
        <v>0</v>
      </c>
      <c r="M33" s="68" t="s">
        <v>15</v>
      </c>
      <c r="N33" s="69">
        <v>0</v>
      </c>
    </row>
    <row r="34" spans="1:14" ht="16.2" thickTop="1" x14ac:dyDescent="0.3">
      <c r="A34" s="75" t="s">
        <v>117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44"/>
      <c r="M34" s="75"/>
      <c r="N34" s="75"/>
    </row>
    <row r="36" spans="1:14" x14ac:dyDescent="0.3">
      <c r="A36" s="38" t="s">
        <v>24</v>
      </c>
      <c r="B36" s="21">
        <v>0</v>
      </c>
      <c r="C36" s="21">
        <v>1</v>
      </c>
      <c r="D36" s="21">
        <v>0</v>
      </c>
      <c r="E36" s="21">
        <v>0</v>
      </c>
      <c r="F36" s="21">
        <v>0</v>
      </c>
      <c r="G36" s="21">
        <v>1</v>
      </c>
      <c r="H36" s="21">
        <v>0</v>
      </c>
      <c r="I36" s="21">
        <v>0</v>
      </c>
      <c r="J36" s="21">
        <v>1</v>
      </c>
      <c r="K36" s="21">
        <v>1</v>
      </c>
    </row>
    <row r="37" spans="1:14" x14ac:dyDescent="0.3">
      <c r="A37" s="13" t="s">
        <v>25</v>
      </c>
      <c r="B37" s="39">
        <f>SUMPRODUCT(B26:K26,B36:K36)</f>
        <v>12</v>
      </c>
      <c r="C37" s="6"/>
      <c r="D37" s="6"/>
      <c r="E37" s="6"/>
      <c r="F37" s="6"/>
      <c r="G37" s="6"/>
      <c r="H37" s="6"/>
      <c r="I37" s="6"/>
      <c r="J37" s="6">
        <v>1.3</v>
      </c>
      <c r="K37" s="6">
        <v>1.2</v>
      </c>
      <c r="L37" t="s">
        <v>116</v>
      </c>
    </row>
  </sheetData>
  <mergeCells count="4">
    <mergeCell ref="B23:K23"/>
    <mergeCell ref="L23:N24"/>
    <mergeCell ref="B25:E25"/>
    <mergeCell ref="F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Gradient-6</vt:lpstr>
      <vt:lpstr>NonlinearSolver</vt:lpstr>
      <vt:lpstr>Gradient-42</vt:lpstr>
      <vt:lpstr>Linearized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drosenberg</dc:creator>
  <cp:lastModifiedBy>Maddie Witte</cp:lastModifiedBy>
  <dcterms:created xsi:type="dcterms:W3CDTF">2015-10-05T23:33:32Z</dcterms:created>
  <dcterms:modified xsi:type="dcterms:W3CDTF">2026-10-13T20:54:12Z</dcterms:modified>
</cp:coreProperties>
</file>